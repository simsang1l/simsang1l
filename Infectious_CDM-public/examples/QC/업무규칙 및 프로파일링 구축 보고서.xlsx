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graming\Infectious_CDM\JBUH\QC\"/>
    </mc:Choice>
  </mc:AlternateContent>
  <xr:revisionPtr revIDLastSave="0" documentId="13_ncr:1_{EE239EAA-E731-4209-BE85-FA6735D6DF08}" xr6:coauthVersionLast="47" xr6:coauthVersionMax="47" xr10:uidLastSave="{00000000-0000-0000-0000-000000000000}"/>
  <bookViews>
    <workbookView xWindow="0" yWindow="0" windowWidth="25800" windowHeight="21000" firstSheet="3" activeTab="5" xr2:uid="{00000000-000D-0000-FFFF-FFFF00000000}"/>
    <workbookView visibility="hidden" xWindow="0" yWindow="0" windowWidth="25800" windowHeight="21000" xr2:uid="{1A9308CB-EFEE-42EC-9224-6C452372B1EC}"/>
  </bookViews>
  <sheets>
    <sheet name="1.표지" sheetId="5" r:id="rId1"/>
    <sheet name="2.작성가이드" sheetId="6" r:id="rId2"/>
    <sheet name="3.컬럼별_데이터_분포 진단결과" sheetId="2" r:id="rId3"/>
    <sheet name="4.메타_데이터_진단결과" sheetId="4" r:id="rId4"/>
    <sheet name="5.업무규칙_결과" sheetId="3" r:id="rId5"/>
    <sheet name="6.업무규칙_결과요약" sheetId="9" r:id="rId6"/>
  </sheets>
  <definedNames>
    <definedName name="_xlnm._FilterDatabase" localSheetId="4" hidden="1">'5.업무규칙_결과'!$A$1:$I$51</definedName>
    <definedName name="_xlnm.Print_Area" localSheetId="0">'1.표지'!$A$1</definedName>
  </definedName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9" l="1"/>
  <c r="H7" i="9" s="1"/>
  <c r="G10" i="9"/>
  <c r="H10" i="9" s="1"/>
  <c r="G5" i="9"/>
  <c r="H5" i="9" s="1"/>
  <c r="G3" i="9"/>
  <c r="H4" i="9"/>
  <c r="H6" i="9"/>
  <c r="H8" i="9"/>
  <c r="H9" i="9"/>
  <c r="H11" i="9"/>
  <c r="F9" i="9"/>
  <c r="F8" i="9"/>
  <c r="F11" i="9"/>
  <c r="G11" i="9"/>
  <c r="G9" i="9"/>
  <c r="G8" i="9"/>
  <c r="F6" i="9"/>
  <c r="G6" i="9"/>
  <c r="F4" i="9"/>
  <c r="F10" i="9"/>
  <c r="F7" i="9"/>
  <c r="F5" i="9"/>
  <c r="F12" i="9" s="1"/>
  <c r="G4" i="9"/>
  <c r="F3" i="9"/>
  <c r="D11" i="9"/>
  <c r="D7" i="9"/>
  <c r="D9" i="9"/>
  <c r="E9" i="9" s="1"/>
  <c r="D8" i="9"/>
  <c r="E8" i="9" s="1"/>
  <c r="D6" i="9"/>
  <c r="D4" i="9"/>
  <c r="D10" i="9"/>
  <c r="D5" i="9"/>
  <c r="D3" i="9"/>
  <c r="G12" i="9" l="1"/>
  <c r="H12" i="9" s="1"/>
  <c r="H3" i="9"/>
  <c r="E4" i="9"/>
  <c r="E6" i="9"/>
  <c r="E11" i="9"/>
  <c r="D12" i="9"/>
  <c r="E10" i="9" s="1"/>
  <c r="E5" i="9" l="1"/>
  <c r="E3" i="9"/>
  <c r="E7" i="9"/>
  <c r="E12" i="9" l="1"/>
</calcChain>
</file>

<file path=xl/sharedStrings.xml><?xml version="1.0" encoding="utf-8"?>
<sst xmlns="http://schemas.openxmlformats.org/spreadsheetml/2006/main" count="1583" uniqueCount="562">
  <si>
    <t>id</t>
  </si>
  <si>
    <t>visit_occurrence</t>
  </si>
  <si>
    <t>visit_detail</t>
  </si>
  <si>
    <t>condition_occurrence</t>
  </si>
  <si>
    <t>drug_exposure</t>
  </si>
  <si>
    <t>테이블명</t>
  </si>
  <si>
    <t>컬럼명</t>
  </si>
  <si>
    <t>데이터 수
(null을 제외한 데이터 수)</t>
  </si>
  <si>
    <t>고유값 수</t>
  </si>
  <si>
    <t>최빈값</t>
  </si>
  <si>
    <t>최빈값 빈도</t>
  </si>
  <si>
    <t>평균값</t>
  </si>
  <si>
    <t>표준편차</t>
  </si>
  <si>
    <t>최소값</t>
  </si>
  <si>
    <t>최대값</t>
  </si>
  <si>
    <t>null데이터 수</t>
  </si>
  <si>
    <t>null비율</t>
  </si>
  <si>
    <t>field_0001</t>
  </si>
  <si>
    <t>care_site</t>
  </si>
  <si>
    <t>care_site_id</t>
  </si>
  <si>
    <t>care_site_name</t>
  </si>
  <si>
    <t>요역동학검사실</t>
  </si>
  <si>
    <t>place_of_service_concept_id</t>
  </si>
  <si>
    <t>location_id</t>
  </si>
  <si>
    <t>care_site_source_value</t>
  </si>
  <si>
    <t>Z00011</t>
  </si>
  <si>
    <t>place_of_service_source_value</t>
  </si>
  <si>
    <t>field_0002</t>
  </si>
  <si>
    <t>provider</t>
  </si>
  <si>
    <t>provider_id</t>
  </si>
  <si>
    <t>provider_name</t>
  </si>
  <si>
    <t>N</t>
  </si>
  <si>
    <t>npi</t>
  </si>
  <si>
    <t>dea</t>
  </si>
  <si>
    <t>specialty_concept_id</t>
  </si>
  <si>
    <t>specialty_concept_id_name</t>
  </si>
  <si>
    <t>Nurse</t>
  </si>
  <si>
    <t>임상시험센터</t>
  </si>
  <si>
    <t>year_of_birth</t>
  </si>
  <si>
    <t>gender_concept_id</t>
  </si>
  <si>
    <t>provider_source_value</t>
  </si>
  <si>
    <t>21740</t>
  </si>
  <si>
    <t>specialty_source_value</t>
  </si>
  <si>
    <t>500</t>
  </si>
  <si>
    <t>specialty_source_value_name</t>
  </si>
  <si>
    <t>구분없음</t>
  </si>
  <si>
    <t>specialty_source_concept_id</t>
  </si>
  <si>
    <t>gender_source_value</t>
  </si>
  <si>
    <t>gender_source_concept_id</t>
  </si>
  <si>
    <t>field_0003</t>
  </si>
  <si>
    <t>person</t>
  </si>
  <si>
    <t>person_id</t>
  </si>
  <si>
    <t>month_of_birth</t>
  </si>
  <si>
    <t>day_of_birth</t>
  </si>
  <si>
    <t>birth_datetime</t>
  </si>
  <si>
    <t>death_datetime</t>
  </si>
  <si>
    <t>race_concept_id</t>
  </si>
  <si>
    <t>ethnicity_concept_id</t>
  </si>
  <si>
    <t>person_source_value</t>
  </si>
  <si>
    <t>환자명</t>
  </si>
  <si>
    <t>김정순</t>
  </si>
  <si>
    <t>F</t>
  </si>
  <si>
    <t>race_source_value</t>
  </si>
  <si>
    <t>race_source_concept_id</t>
  </si>
  <si>
    <t>ethnicity_source_value</t>
  </si>
  <si>
    <t>ethnicity_source_concept_id</t>
  </si>
  <si>
    <t>혈액형(ABO)</t>
  </si>
  <si>
    <t>A</t>
  </si>
  <si>
    <t>혈액형(RH)</t>
  </si>
  <si>
    <t>+</t>
  </si>
  <si>
    <t>field_0004</t>
  </si>
  <si>
    <t>visit_occurrence_id</t>
  </si>
  <si>
    <t>나지현</t>
  </si>
  <si>
    <t>visit_concept_id</t>
  </si>
  <si>
    <t>visit_start_date</t>
  </si>
  <si>
    <t>visit_start_datetime</t>
  </si>
  <si>
    <t>visit_end_date</t>
  </si>
  <si>
    <t>visit_end_datetime</t>
  </si>
  <si>
    <t>visit_type_concept_id</t>
  </si>
  <si>
    <t>visit_type_concept_id_name</t>
  </si>
  <si>
    <t>Visit derived from EHR record</t>
  </si>
  <si>
    <t>visit_source_value</t>
  </si>
  <si>
    <t>O</t>
  </si>
  <si>
    <t>visit_source_concept_id</t>
  </si>
  <si>
    <t>admitted_from_concept_id</t>
  </si>
  <si>
    <t>admitted_from_source_value</t>
  </si>
  <si>
    <t>discharge_to_source_value</t>
  </si>
  <si>
    <t>discharge_to_concept_id</t>
  </si>
  <si>
    <t>preceding_visit_occurrence_id</t>
  </si>
  <si>
    <t>visit_source_key</t>
  </si>
  <si>
    <t>014263912018-06-12 00:06OPD</t>
  </si>
  <si>
    <t>진료과</t>
  </si>
  <si>
    <t>IMPM</t>
  </si>
  <si>
    <t>진료과명</t>
  </si>
  <si>
    <t>호흡기알레르기내과</t>
  </si>
  <si>
    <t>field_0005</t>
  </si>
  <si>
    <t>visit_detail_id</t>
  </si>
  <si>
    <t>소다빈</t>
  </si>
  <si>
    <t>visit_detail_concept_id</t>
  </si>
  <si>
    <t>visit_detail_start_date</t>
  </si>
  <si>
    <t>visit_detail_start_datetime</t>
  </si>
  <si>
    <t>visit_detail_end_date</t>
  </si>
  <si>
    <t>visit_detail_end_datetime</t>
  </si>
  <si>
    <t>visit_detail_type_concept_id</t>
  </si>
  <si>
    <t>visit_detail_type_concept_id_name</t>
  </si>
  <si>
    <t>visit_detail_source_value</t>
  </si>
  <si>
    <t>ICU</t>
  </si>
  <si>
    <t>visit_detail_source_concept_id</t>
  </si>
  <si>
    <t>preceding_visit_detail_id</t>
  </si>
  <si>
    <t>visit_detail_parent_id</t>
  </si>
  <si>
    <t>IMID</t>
  </si>
  <si>
    <t>감염내과</t>
  </si>
  <si>
    <t>field_0006</t>
  </si>
  <si>
    <t>condition_occurrence_id</t>
  </si>
  <si>
    <t>권혁만</t>
  </si>
  <si>
    <t>condition_concept_id</t>
  </si>
  <si>
    <t>condition_start_date</t>
  </si>
  <si>
    <t>condition_start_datetime</t>
  </si>
  <si>
    <t>condition_end_date</t>
  </si>
  <si>
    <t>condition_end_datetime</t>
  </si>
  <si>
    <t>condition_type_concept_id</t>
  </si>
  <si>
    <t>condition_type_concept_id_name</t>
  </si>
  <si>
    <t>Secondary Condition</t>
  </si>
  <si>
    <t>condition_status_concept_id</t>
  </si>
  <si>
    <t>stop_reason</t>
  </si>
  <si>
    <t>주치의명</t>
  </si>
  <si>
    <t>응급일반의</t>
  </si>
  <si>
    <t>condition_source_value</t>
  </si>
  <si>
    <t>I109</t>
  </si>
  <si>
    <t>진단명</t>
  </si>
  <si>
    <t>Other and unspecified primary hypertension</t>
  </si>
  <si>
    <t>condition_source_concept_id</t>
  </si>
  <si>
    <t>condition_status_source_value</t>
  </si>
  <si>
    <t>00446819201711170103IIMPM</t>
  </si>
  <si>
    <t>환자구분</t>
  </si>
  <si>
    <t>상병구분</t>
  </si>
  <si>
    <t>M</t>
  </si>
  <si>
    <t>field_0007</t>
  </si>
  <si>
    <t>drug_exposure_id</t>
  </si>
  <si>
    <t>송효순</t>
  </si>
  <si>
    <t>drug_concept_id</t>
  </si>
  <si>
    <t>drug_exposure_start_date</t>
  </si>
  <si>
    <t>drug_exposure_start_datetime</t>
  </si>
  <si>
    <t>drug_exposure_end_date</t>
  </si>
  <si>
    <t>drug_exposure_end_datetime</t>
  </si>
  <si>
    <t>verbatim_end_date</t>
  </si>
  <si>
    <t>drug_type_concept_id</t>
  </si>
  <si>
    <t>drug_type_concept_id_name</t>
  </si>
  <si>
    <t>Prescription written</t>
  </si>
  <si>
    <t>refills</t>
  </si>
  <si>
    <t>quantity</t>
  </si>
  <si>
    <t>days_supply</t>
  </si>
  <si>
    <t>sig</t>
  </si>
  <si>
    <t>route_concept_id</t>
  </si>
  <si>
    <t>lot_number</t>
  </si>
  <si>
    <t>drug_source_value</t>
  </si>
  <si>
    <t>WNS2</t>
  </si>
  <si>
    <t>drug_source_value_name</t>
  </si>
  <si>
    <t>★N/S 20ml/Amp(JW중외)</t>
  </si>
  <si>
    <t>drug_source_concept_id</t>
  </si>
  <si>
    <t>644902691</t>
  </si>
  <si>
    <t>route_source_value</t>
  </si>
  <si>
    <t>dose_unit_source_value</t>
  </si>
  <si>
    <t>TAB</t>
  </si>
  <si>
    <t>vocabulary_id</t>
  </si>
  <si>
    <t>EDI</t>
  </si>
  <si>
    <t>002217232021-02-18 17:07:00IIMPM</t>
  </si>
  <si>
    <t>I</t>
  </si>
  <si>
    <t>나이</t>
  </si>
  <si>
    <t>투여량</t>
  </si>
  <si>
    <t>함량단위</t>
  </si>
  <si>
    <t>횟수</t>
  </si>
  <si>
    <t>일수</t>
  </si>
  <si>
    <t>용법코드</t>
  </si>
  <si>
    <t>IV</t>
  </si>
  <si>
    <t>처방순번</t>
  </si>
  <si>
    <t>ATC코드</t>
  </si>
  <si>
    <t>B05XA03</t>
  </si>
  <si>
    <t>ATC 코드명</t>
  </si>
  <si>
    <t>sodium chloride</t>
  </si>
  <si>
    <t>field_0008</t>
  </si>
  <si>
    <t>measurement</t>
  </si>
  <si>
    <t>measurement_id</t>
  </si>
  <si>
    <t>이상인</t>
  </si>
  <si>
    <t>measurement_concept_id</t>
  </si>
  <si>
    <t>measurement_date</t>
  </si>
  <si>
    <t>measurement_datetime</t>
  </si>
  <si>
    <t>measurement_time</t>
  </si>
  <si>
    <t>00:00:00</t>
  </si>
  <si>
    <t>measurement_type_concept_id</t>
  </si>
  <si>
    <t>measurement_type_concept_id_name</t>
  </si>
  <si>
    <t>Lab result</t>
  </si>
  <si>
    <t>operator_concept_id</t>
  </si>
  <si>
    <t>operator_concept_id_name</t>
  </si>
  <si>
    <t>value_as_number</t>
  </si>
  <si>
    <t>value_as_concept_id</t>
  </si>
  <si>
    <t>value_as_concept_id_name</t>
  </si>
  <si>
    <t>Negative</t>
  </si>
  <si>
    <t>unit_concept_id</t>
  </si>
  <si>
    <t>unit_concept_id_name</t>
  </si>
  <si>
    <t>mmHg</t>
  </si>
  <si>
    <t>range_low</t>
  </si>
  <si>
    <t>range_high</t>
  </si>
  <si>
    <t>이용철</t>
  </si>
  <si>
    <t>measurement_source_value</t>
  </si>
  <si>
    <t>pulse rate (PR)</t>
  </si>
  <si>
    <t>measurement_source_value_name</t>
  </si>
  <si>
    <t>measurement_source_concept_id</t>
  </si>
  <si>
    <t>unit_source_value</t>
  </si>
  <si>
    <t>value_source_value</t>
  </si>
  <si>
    <t>00221723202102181707IIMPM</t>
  </si>
  <si>
    <t>처방코드</t>
  </si>
  <si>
    <t>L2001</t>
  </si>
  <si>
    <t>처방명</t>
  </si>
  <si>
    <t>Routine CBC &amp; Diff count</t>
  </si>
  <si>
    <t>처방일</t>
  </si>
  <si>
    <t>정상치(상)</t>
  </si>
  <si>
    <t>정상치(하)</t>
  </si>
  <si>
    <t>결과내역</t>
  </si>
  <si>
    <t>-</t>
  </si>
  <si>
    <t>field_0009</t>
  </si>
  <si>
    <t>procedure_occurrence</t>
  </si>
  <si>
    <t>procedure_occurrence_id</t>
  </si>
  <si>
    <t>양열</t>
  </si>
  <si>
    <t>procedure_concept_id</t>
  </si>
  <si>
    <t>procedure_date</t>
  </si>
  <si>
    <t>procedure_datetime</t>
  </si>
  <si>
    <t>procedure_type_concept_id</t>
  </si>
  <si>
    <t>procedure_type_concept_id_name</t>
  </si>
  <si>
    <t>EHR order list entry</t>
  </si>
  <si>
    <t>modifier_concept_id</t>
  </si>
  <si>
    <t>처방의명</t>
  </si>
  <si>
    <t>procedure_source_value</t>
  </si>
  <si>
    <t>Z0999</t>
  </si>
  <si>
    <t>procedure_source_value_name</t>
  </si>
  <si>
    <t>● 기타 Order</t>
  </si>
  <si>
    <t>procedure_source_concept_id</t>
  </si>
  <si>
    <t>modifier_source_value</t>
  </si>
  <si>
    <t>012079912020-12-18 18:24:00IRM</t>
  </si>
  <si>
    <t>잔료과</t>
  </si>
  <si>
    <t>수술일</t>
  </si>
  <si>
    <t>CIS 이미지 참조</t>
  </si>
  <si>
    <t>결론 및 진단</t>
  </si>
  <si>
    <t>[NULL]</t>
  </si>
  <si>
    <t>결과단위</t>
  </si>
  <si>
    <t>ng/ml</t>
  </si>
  <si>
    <t>ER</t>
  </si>
  <si>
    <t>field_0010</t>
  </si>
  <si>
    <t>observation_period</t>
  </si>
  <si>
    <t>observation_period_id</t>
  </si>
  <si>
    <t>observation_period_start_date</t>
  </si>
  <si>
    <t>observation_period_end_date</t>
  </si>
  <si>
    <t>period_type_concept_id</t>
  </si>
  <si>
    <t>field_0011</t>
  </si>
  <si>
    <t>local_edi</t>
  </si>
  <si>
    <t>ORDCODE</t>
  </si>
  <si>
    <t>N10405</t>
  </si>
  <si>
    <t>FROMDATE</t>
  </si>
  <si>
    <t>TODATE</t>
  </si>
  <si>
    <t>INSEDICODE</t>
  </si>
  <si>
    <t>ORDNAME_x</t>
  </si>
  <si>
    <t>ORDNAME_y</t>
  </si>
  <si>
    <t>concept_id</t>
  </si>
  <si>
    <t>concept_name</t>
  </si>
  <si>
    <t>CDH SOLERA PEDICLE SCREW SET</t>
  </si>
  <si>
    <t>domain_id</t>
  </si>
  <si>
    <t>Procedure</t>
  </si>
  <si>
    <t>concept_class_id</t>
  </si>
  <si>
    <t>Proc Hierarchy</t>
  </si>
  <si>
    <t>standard_concept</t>
  </si>
  <si>
    <t>S</t>
  </si>
  <si>
    <t>concept_code</t>
  </si>
  <si>
    <t>F0018372</t>
  </si>
  <si>
    <t>valid_start_date</t>
  </si>
  <si>
    <t>2019-01-01</t>
  </si>
  <si>
    <t>valid_end_date</t>
  </si>
  <si>
    <t>2099-12-31</t>
  </si>
  <si>
    <t>invalid_reason</t>
  </si>
  <si>
    <t>ORDNAME</t>
  </si>
  <si>
    <t>SUGANAME</t>
  </si>
  <si>
    <t>한글상품명</t>
  </si>
  <si>
    <t>산소</t>
  </si>
  <si>
    <t>업체명</t>
  </si>
  <si>
    <t>제이더블유중외제약(주)</t>
  </si>
  <si>
    <t>약품규격</t>
  </si>
  <si>
    <t>없음</t>
  </si>
  <si>
    <t>제품총수량</t>
  </si>
  <si>
    <t>제형구분</t>
  </si>
  <si>
    <t>바이알</t>
  </si>
  <si>
    <t>포장형태</t>
  </si>
  <si>
    <t>Vial</t>
  </si>
  <si>
    <t>품목기준코드</t>
  </si>
  <si>
    <t>품목허가일자</t>
  </si>
  <si>
    <t>전문/일반</t>
  </si>
  <si>
    <t>전문의약품</t>
  </si>
  <si>
    <t>대표코드</t>
  </si>
  <si>
    <t>표준코드</t>
  </si>
  <si>
    <t>제품코드(개정후)</t>
  </si>
  <si>
    <t>일반명코드(성분명코드)</t>
  </si>
  <si>
    <t>370602CSI</t>
  </si>
  <si>
    <t>비고</t>
  </si>
  <si>
    <t>수입</t>
  </si>
  <si>
    <t>취소일자</t>
  </si>
  <si>
    <t>2019-07-25</t>
  </si>
  <si>
    <t>양도양수적용(공고)일자</t>
  </si>
  <si>
    <t>양도양수종료일자</t>
  </si>
  <si>
    <t>일련번호생략여부</t>
  </si>
  <si>
    <t>일련번호생략사유</t>
  </si>
  <si>
    <t>일반의약품</t>
  </si>
  <si>
    <t>B05BA10</t>
  </si>
  <si>
    <t>특수관리약품구분</t>
  </si>
  <si>
    <t>해당사항없음</t>
  </si>
  <si>
    <t>의약품판독장비구분</t>
  </si>
  <si>
    <t>바코드</t>
  </si>
  <si>
    <t>ATC 코드</t>
  </si>
  <si>
    <t>combinations</t>
  </si>
  <si>
    <t>품질지표</t>
  </si>
  <si>
    <t>품질상세지표</t>
  </si>
  <si>
    <t>진단규칙내용</t>
  </si>
  <si>
    <t>오류 건수</t>
  </si>
  <si>
    <t>총 건수</t>
  </si>
  <si>
    <t>오류율</t>
  </si>
  <si>
    <t>DQ_0001</t>
  </si>
  <si>
    <t>완전성</t>
  </si>
  <si>
    <t>데이터 값 완전성</t>
  </si>
  <si>
    <t>person_source_value는 NULL이나 공백 데이터가 없어야 한다</t>
  </si>
  <si>
    <t>DQ_0002</t>
  </si>
  <si>
    <t>유일성</t>
  </si>
  <si>
    <t>데이터 값 유일성</t>
  </si>
  <si>
    <t>person_source_value는 중복값 없이 유일해야 한다</t>
  </si>
  <si>
    <t>DQ_0003</t>
  </si>
  <si>
    <t>유효성</t>
  </si>
  <si>
    <t>범위 유효성</t>
  </si>
  <si>
    <t>내일 이전 날짜로 채워져야 한다.</t>
  </si>
  <si>
    <t>DQ_0004</t>
  </si>
  <si>
    <t>1에서 12사이의 값으로 채워져야 한다.</t>
  </si>
  <si>
    <t>DQ_0005</t>
  </si>
  <si>
    <t>1에서 31 사이의 값으로 채워져야 한다.</t>
  </si>
  <si>
    <t>DQ_0006</t>
  </si>
  <si>
    <t>gender_source_value는 null값이 아니어야한다.</t>
  </si>
  <si>
    <t>DQ_0007</t>
  </si>
  <si>
    <t>관계 유효성</t>
  </si>
  <si>
    <t>사망일이 환자 출생년도 이전이 될 수 없음</t>
  </si>
  <si>
    <t>DQ_0008</t>
  </si>
  <si>
    <t>visit_occurrence_id컬럼에 NULL이나 공백 데이터가 존재할 수 없음</t>
  </si>
  <si>
    <t>DQ_0009</t>
  </si>
  <si>
    <t>visit_occurrence_id는 중복값 없이 유일해야함</t>
  </si>
  <si>
    <t>DQ_0010</t>
  </si>
  <si>
    <t>visit_occurrence테이블의 visit_start_date 컬럼은 visit_end_date 보다 작거나 같아야 한다.</t>
  </si>
  <si>
    <t>DQ_0011</t>
  </si>
  <si>
    <t>visit_start_date 데이터는 NULL데이터를 가질 수 없음</t>
  </si>
  <si>
    <t>DQ_0012</t>
  </si>
  <si>
    <t>visit_start_datetime 데이터는 NULL데이터를 가질 수 없음</t>
  </si>
  <si>
    <t>DQ_0013</t>
  </si>
  <si>
    <t>일관성</t>
  </si>
  <si>
    <t>참조 무결 일관성</t>
  </si>
  <si>
    <t>visit_occurrence의 person_id는 person에 등록된 값이어야 함</t>
  </si>
  <si>
    <t>DQ_0014</t>
  </si>
  <si>
    <t>visit_source_value는 NULL 이나 공백 데이터를 허용하지 않는다.</t>
  </si>
  <si>
    <t>DQ_0015</t>
  </si>
  <si>
    <t>null 또는 0이 아니라면 condition_occurrence테이블의 visit_occurrence_id 컬럼은 visit_occurrence 테이블의 visit_occurrence_id 컬럼에 포함되어야 한다.</t>
  </si>
  <si>
    <t>DQ_0016</t>
  </si>
  <si>
    <t>null 또는 0이 아니라면 drug_exposure테이블의 visit_occurrence_id 컬럼은 visit_occurrence 테이블의 visit_occurrence_id 컬럼에 포함되어야 한다.</t>
  </si>
  <si>
    <t>DQ_0017</t>
  </si>
  <si>
    <t>null 또는 0이 아니라면 measurement테이블의 visit_occurrence_id 컬럼은 visit_occurrence 테이블의 visit_occurrence_id 컬럼에 포함되어야 한다.</t>
  </si>
  <si>
    <t>DQ_0018</t>
  </si>
  <si>
    <t>null 또는 0이 아니라면 procedure_occurrence테이블의 visit_occurrence_id 컬럼은 visit_occurrence 테이블의 visit_occurrence_id 컬럼에 포함되어야 한다.</t>
  </si>
  <si>
    <t>DQ_0019</t>
  </si>
  <si>
    <t>condition_occurrence_id컬럼에 NULL이나 공백 데이터가 존재할 수 없음</t>
  </si>
  <si>
    <t>DQ_0020</t>
  </si>
  <si>
    <t>condition_occurrence_id는 중복값 없이 유일해야함</t>
  </si>
  <si>
    <t>DQ_0021</t>
  </si>
  <si>
    <t>condition_occurrence테이블의 condition_start_date 컬럼은 condition_end_date 보다 작거나 같아야 한다.</t>
  </si>
  <si>
    <t>DQ_0022</t>
  </si>
  <si>
    <t>condition_start_date 데이터는 NULL데이터를 가질 수 없음</t>
  </si>
  <si>
    <t>DQ_0023</t>
  </si>
  <si>
    <t>condition_start_datetime 데이터는 NULL데이터를 가질 수 없음</t>
  </si>
  <si>
    <t>DQ_0024</t>
  </si>
  <si>
    <t>condition_source_value는 NULL 이나 공백 데이터를 허용하지 않는다.</t>
  </si>
  <si>
    <t>DQ_0025</t>
  </si>
  <si>
    <t>condition_occurrence의 person_id는 person에 등록된 값이어야 함</t>
  </si>
  <si>
    <t>DQ_0026</t>
  </si>
  <si>
    <t>drug_exposure_id컬럼에 NULL이나 공백 데이터가 존재할 수 없음</t>
  </si>
  <si>
    <t>DQ_0027</t>
  </si>
  <si>
    <t>drug_exposure_id는 중복값 없이 유일해야함</t>
  </si>
  <si>
    <t>DQ_0028</t>
  </si>
  <si>
    <t>drug_exposure테이블의 drug_start_date 컬럼은 drug_end_date 보다 작거나 같아야 한다.</t>
  </si>
  <si>
    <t>DQ_0029</t>
  </si>
  <si>
    <t>drug_start_date 데이터는 NULL이나 공백 데이터를 가질 수 없음</t>
  </si>
  <si>
    <t>DQ_0030</t>
  </si>
  <si>
    <t>drug_start_datetime 데이터는 NULL이나 공백 데이터를 가질 수 없음</t>
  </si>
  <si>
    <t>DQ_0031</t>
  </si>
  <si>
    <t>drug_exposure의 person_id는 person에 등록된 값이어야 함</t>
  </si>
  <si>
    <t>DQ_0032</t>
  </si>
  <si>
    <t>drug_source_value는 NULL 이나 공백 데이터를 허용하지 않는다.</t>
  </si>
  <si>
    <t>DQ_0033</t>
  </si>
  <si>
    <t>measurement_id컬럼에 NULL이나 공백 데이터가 존재할 수 없음</t>
  </si>
  <si>
    <t>DQ_0034</t>
  </si>
  <si>
    <t>measurement_id는 중복값 없이 유일해야함</t>
  </si>
  <si>
    <t>DQ_0035</t>
  </si>
  <si>
    <t>measurement_date 데이터는 NULL데이터를 가질 수 없음</t>
  </si>
  <si>
    <t>DQ_0036</t>
  </si>
  <si>
    <t>measurement_datetime 데이터는 NULL데이터를 가질 수 없음</t>
  </si>
  <si>
    <t>DQ_0037</t>
  </si>
  <si>
    <t>measurement의 person_id는 person에 등록된 값이어야 함</t>
  </si>
  <si>
    <t>DQ_0038</t>
  </si>
  <si>
    <t>measurement_source_value는 NULL 이나 공백 데이터를 허용하지 않는다.</t>
  </si>
  <si>
    <t>DQ_0039</t>
  </si>
  <si>
    <t>procedure_occurrence_id컬럼에 NULL이나 공백 데이터가 존재할 수 없음</t>
  </si>
  <si>
    <t>DQ_0040</t>
  </si>
  <si>
    <t>procedure_occurrence_id는 중복값 없이 유일해야함</t>
  </si>
  <si>
    <t>DQ_0041</t>
  </si>
  <si>
    <t>procedure_date 데이터는 NULL데이터를 가질 수 없음</t>
  </si>
  <si>
    <t>DQ_0042</t>
  </si>
  <si>
    <t>procedure_datetime 데이터는 NULL데이터를 가질 수 없음</t>
  </si>
  <si>
    <t>DQ_0043</t>
  </si>
  <si>
    <t>procedure_occurrence의 person_id는 person에 등록된 값이어야 함</t>
  </si>
  <si>
    <t>DQ_0044</t>
  </si>
  <si>
    <t>procedure_source_value는 NULL 이나 공백 데이터를 허용하지 않는다.</t>
  </si>
  <si>
    <t>DQ_0045</t>
  </si>
  <si>
    <t>observation_period_id컬럼에 NULL이나 공백 데이터가 존재할 수 없음</t>
  </si>
  <si>
    <t>DQ_0046</t>
  </si>
  <si>
    <t>observation_period_id는 중복값 없이 유일해야함</t>
  </si>
  <si>
    <t>DQ_0047</t>
  </si>
  <si>
    <t>observation_period테이블의 observation_period_start_date 컬럼은 observation_period_end_date 보다 작거나 같아야 한다.</t>
  </si>
  <si>
    <t>DQ_0048</t>
  </si>
  <si>
    <t>observation_period_start_date 데이터는 NULL데이터를 가질 수 없음</t>
  </si>
  <si>
    <t>DQ_0049</t>
  </si>
  <si>
    <t>observation_period_end_date 데이터는 NULL데이터를 가질 수 없음</t>
  </si>
  <si>
    <t>DQ_0050</t>
  </si>
  <si>
    <t>observation_period의 person_id는 person에 등록된 값이어야 함</t>
  </si>
  <si>
    <t>항목 데이터 수</t>
  </si>
  <si>
    <t>전체 데이터 수</t>
  </si>
  <si>
    <t>항목 환자 수</t>
  </si>
  <si>
    <t>전체 환자 수</t>
  </si>
  <si>
    <t>검사 시행 환자 비율</t>
  </si>
  <si>
    <t>META_0001</t>
  </si>
  <si>
    <t>정확성</t>
  </si>
  <si>
    <t>메타 데이터 정확성</t>
  </si>
  <si>
    <t>wbc_count에 대한 데이터가 있어야 함</t>
  </si>
  <si>
    <t>META_0002</t>
  </si>
  <si>
    <t>hb에 대한 데이터가 있어야 함</t>
  </si>
  <si>
    <t>META_0003</t>
  </si>
  <si>
    <t>hematocrit에 대한 데이터가 있어야 함</t>
  </si>
  <si>
    <t>META_0004</t>
  </si>
  <si>
    <t>platelet_count에 대한 데이터가 있어야 함</t>
  </si>
  <si>
    <t>META_0005</t>
  </si>
  <si>
    <t>lymphocyte_count에 대한 데이터가 있어야 함</t>
  </si>
  <si>
    <t>META_0006</t>
  </si>
  <si>
    <t>monocyte_count에 대한 데이터가 있어야 함</t>
  </si>
  <si>
    <t>META_0007</t>
  </si>
  <si>
    <t>neurophil_count에 대한 데이터가 있어야 함</t>
  </si>
  <si>
    <t>META_0008</t>
  </si>
  <si>
    <t>sodium에 대한 데이터가 있어야 함</t>
  </si>
  <si>
    <t>META_0009</t>
  </si>
  <si>
    <t>potassium에 대한 데이터가 있어야 함</t>
  </si>
  <si>
    <t>META_0010</t>
  </si>
  <si>
    <t>ast에 대한 데이터가 있어야 함</t>
  </si>
  <si>
    <t>META_0011</t>
  </si>
  <si>
    <t>alt에 대한 데이터가 있어야 함</t>
  </si>
  <si>
    <t>META_0012</t>
  </si>
  <si>
    <t>total_bilirubin에 대한 데이터가 있어야 함</t>
  </si>
  <si>
    <t>META_0013</t>
  </si>
  <si>
    <t>total_protein에 대한 데이터가 있어야 함</t>
  </si>
  <si>
    <t>META_0014</t>
  </si>
  <si>
    <t>albumin에 대한 데이터가 있어야 함</t>
  </si>
  <si>
    <t>META_0015</t>
  </si>
  <si>
    <t>bun에 대한 데이터가 있어야 함</t>
  </si>
  <si>
    <t>META_0016</t>
  </si>
  <si>
    <t>creatinine에 대한 데이터가 있어야 함</t>
  </si>
  <si>
    <t>META_0017</t>
  </si>
  <si>
    <t>egfr에 대한 데이터가 있어야 함</t>
  </si>
  <si>
    <t>META_0018</t>
  </si>
  <si>
    <t>crp에 대한 데이터가 있어야 함</t>
  </si>
  <si>
    <t>META_0019</t>
  </si>
  <si>
    <t>troponin_i에 대한 데이터가 있어야 함</t>
  </si>
  <si>
    <t>META_0020</t>
  </si>
  <si>
    <t>ck_mb에 대한 데이터가 있어야 함</t>
  </si>
  <si>
    <t>META_0021</t>
  </si>
  <si>
    <t>ph에 대한 데이터가 있어야 함</t>
  </si>
  <si>
    <t>META_0022</t>
  </si>
  <si>
    <t>paco2에 대한 데이터가 있어야 함</t>
  </si>
  <si>
    <t>META_0023</t>
  </si>
  <si>
    <t>pao2에 대한 데이터가 있어야 함</t>
  </si>
  <si>
    <t>META_0024</t>
  </si>
  <si>
    <t>arterial PH에 대한 데이터가 있어야 함</t>
  </si>
  <si>
    <t>META_0025</t>
  </si>
  <si>
    <t>체온에 대한 데이터가 있어야 함</t>
  </si>
  <si>
    <t>META_0026</t>
  </si>
  <si>
    <t>SBP에 대한 데이터가 있어야 함</t>
  </si>
  <si>
    <t>META_0027</t>
  </si>
  <si>
    <t>DBP에 대한 데이터가 있어야 함</t>
  </si>
  <si>
    <t>META_0028</t>
  </si>
  <si>
    <t>Heart rate에 대한 데이터가 있어야 함</t>
  </si>
  <si>
    <t>META_0029</t>
  </si>
  <si>
    <t>respiratory rate에 대한 데이터가 있어야 함</t>
  </si>
  <si>
    <t>META_0030</t>
  </si>
  <si>
    <t>bmi에 대한 데이터가 있어야 함</t>
  </si>
  <si>
    <t>META_0031</t>
  </si>
  <si>
    <t>height에 대한 데이터가 있어야 함</t>
  </si>
  <si>
    <t>META_0032</t>
  </si>
  <si>
    <t>weight에 대한 데이터가 있어야 함</t>
  </si>
  <si>
    <t>프로젝트명</t>
    <phoneticPr fontId="6" type="noConversion"/>
  </si>
  <si>
    <t>산출물명</t>
    <phoneticPr fontId="6" type="noConversion"/>
  </si>
  <si>
    <t>업무규칙 및 프로파일링 구축 보고서</t>
    <phoneticPr fontId="6" type="noConversion"/>
  </si>
  <si>
    <t>실사용데이터(RWD) 기반의 임상연구 지원 사업</t>
    <phoneticPr fontId="6" type="noConversion"/>
  </si>
  <si>
    <t>구축 보고서</t>
    <phoneticPr fontId="1" type="noConversion"/>
  </si>
  <si>
    <r>
      <rPr>
        <b/>
        <sz val="14"/>
        <color rgb="FF000000"/>
        <rFont val="맑은 고딕"/>
        <family val="3"/>
        <charset val="129"/>
      </rPr>
      <t>□</t>
    </r>
    <r>
      <rPr>
        <b/>
        <sz val="14"/>
        <color rgb="FF000000"/>
        <rFont val="맑은 고딕"/>
        <family val="3"/>
        <charset val="129"/>
        <scheme val="minor"/>
      </rPr>
      <t xml:space="preserve"> 작성 가이드</t>
    </r>
    <phoneticPr fontId="1" type="noConversion"/>
  </si>
  <si>
    <t>산출물명</t>
    <phoneticPr fontId="1" type="noConversion"/>
  </si>
  <si>
    <t>항목분류</t>
    <phoneticPr fontId="1" type="noConversion"/>
  </si>
  <si>
    <t>설명</t>
    <phoneticPr fontId="1" type="noConversion"/>
  </si>
  <si>
    <t>데이터셋</t>
    <phoneticPr fontId="1" type="noConversion"/>
  </si>
  <si>
    <t>테이블정보</t>
    <phoneticPr fontId="1" type="noConversion"/>
  </si>
  <si>
    <t>컬럼정보</t>
    <phoneticPr fontId="1" type="noConversion"/>
  </si>
  <si>
    <t>결과내역</t>
    <phoneticPr fontId="1" type="noConversion"/>
  </si>
  <si>
    <t>결과</t>
    <phoneticPr fontId="1" type="noConversion"/>
  </si>
  <si>
    <t>속성분석</t>
    <phoneticPr fontId="1" type="noConversion"/>
  </si>
  <si>
    <t>컬럼별 데이터 분포 진단</t>
    <phoneticPr fontId="1" type="noConversion"/>
  </si>
  <si>
    <t>해당 컬럼에 저장된 NULL을 제외한 데이터의 수</t>
    <phoneticPr fontId="1" type="noConversion"/>
  </si>
  <si>
    <t>해당 테이블의 컬럼명</t>
    <phoneticPr fontId="1" type="noConversion"/>
  </si>
  <si>
    <t>테이블명 혹은 파일명</t>
    <phoneticPr fontId="1" type="noConversion"/>
  </si>
  <si>
    <t>품질진단 구분 번호</t>
    <phoneticPr fontId="1" type="noConversion"/>
  </si>
  <si>
    <t>해당 컬럼에 저장된 고유한 값의 수</t>
    <phoneticPr fontId="1" type="noConversion"/>
  </si>
  <si>
    <t>가장 많은 수를 가지는 값</t>
    <phoneticPr fontId="1" type="noConversion"/>
  </si>
  <si>
    <t>최빈값의 수</t>
    <phoneticPr fontId="1" type="noConversion"/>
  </si>
  <si>
    <t>해당 컬럼에 저장된 데이터의 표준편차 값 (숫자가 아닌 경우 빈값)</t>
    <phoneticPr fontId="1" type="noConversion"/>
  </si>
  <si>
    <t>해당 컬럼에 저장된 데이터의 평균 값 (숫자가 아닌 경우 빈값)</t>
    <phoneticPr fontId="1" type="noConversion"/>
  </si>
  <si>
    <t>해당 컬럼에 저장된 데이터의 최소 값 (숫자가 아닌 경우 빈값)</t>
    <phoneticPr fontId="1" type="noConversion"/>
  </si>
  <si>
    <t>해당 컬럼에 저장된 데이터의 25%에 해당하는 값 (숫자가 아닌 경우 빈값)</t>
    <phoneticPr fontId="1" type="noConversion"/>
  </si>
  <si>
    <t>해당 컬럼에 저장된 데이터의 50%에 해당하는 값 (숫자가 아닌 경우 빈값)</t>
    <phoneticPr fontId="1" type="noConversion"/>
  </si>
  <si>
    <t>해당 컬럼에 저장된 데이터의 75%에 해당하는 값 (숫자가 아닌 경우 빈값)</t>
    <phoneticPr fontId="1" type="noConversion"/>
  </si>
  <si>
    <t>해당 컬럼에 저장된 데이터의 최대 값 (숫자가 아닌 경우 빈값)</t>
    <phoneticPr fontId="1" type="noConversion"/>
  </si>
  <si>
    <t>해당 컬럼에 있는 NULL 데이터 수</t>
    <phoneticPr fontId="1" type="noConversion"/>
  </si>
  <si>
    <t>항목 - 컬럼</t>
    <phoneticPr fontId="1" type="noConversion"/>
  </si>
  <si>
    <t>기초집계값</t>
  </si>
  <si>
    <t>항목-구분번호</t>
    <phoneticPr fontId="1" type="noConversion"/>
  </si>
  <si>
    <t>정의내역</t>
  </si>
  <si>
    <t>규칙 정의</t>
  </si>
  <si>
    <t>메타데이터 진단</t>
    <phoneticPr fontId="1" type="noConversion"/>
  </si>
  <si>
    <t>업무규칙 결과</t>
    <phoneticPr fontId="1" type="noConversion"/>
  </si>
  <si>
    <t>데이터 품질관리 지표(정확성)</t>
    <phoneticPr fontId="1" type="noConversion"/>
  </si>
  <si>
    <t>메타 데이터 정확성</t>
    <phoneticPr fontId="1" type="noConversion"/>
  </si>
  <si>
    <t>데이터 품질관리 상세지표(메타 데이터 정확성)</t>
    <phoneticPr fontId="1" type="noConversion"/>
  </si>
  <si>
    <t>품질진단을 수행 할 내용</t>
    <phoneticPr fontId="1" type="noConversion"/>
  </si>
  <si>
    <t>총 건수 결과</t>
    <phoneticPr fontId="1" type="noConversion"/>
  </si>
  <si>
    <t>총 환자수 결과</t>
    <phoneticPr fontId="1" type="noConversion"/>
  </si>
  <si>
    <t>진단 규칙에 해당하는 환자수 비율</t>
    <phoneticPr fontId="1" type="noConversion"/>
  </si>
  <si>
    <t>진단 규칙 조건에 해당하는 건수 결과</t>
    <phoneticPr fontId="1" type="noConversion"/>
  </si>
  <si>
    <t>진단 규칙 조건에 해당하는 환자수 결과</t>
    <phoneticPr fontId="1" type="noConversion"/>
  </si>
  <si>
    <t>총 오류 건수 결과</t>
    <phoneticPr fontId="1" type="noConversion"/>
  </si>
  <si>
    <t>오류율 결과 (오류 건수 / 총 건수)</t>
    <phoneticPr fontId="1" type="noConversion"/>
  </si>
  <si>
    <t>전체 데이터 대비 NULL값 백분율(NULL값 ROW수 / 전체 ROW 수)</t>
    <phoneticPr fontId="1" type="noConversion"/>
  </si>
  <si>
    <t>데이터 품질관리 지표 (유효성, 정확성, 완전성, 일관성)</t>
    <phoneticPr fontId="1" type="noConversion"/>
  </si>
  <si>
    <t>데이터 품질관리 상세지표 (참조무결성, 중복일관성, 범위유효성, 논리관계정확성, 단독완전성 등)</t>
    <phoneticPr fontId="1" type="noConversion"/>
  </si>
  <si>
    <t>총합계</t>
  </si>
  <si>
    <t>개수</t>
    <phoneticPr fontId="1" type="noConversion"/>
  </si>
  <si>
    <t>비율</t>
    <phoneticPr fontId="1" type="noConversion"/>
  </si>
  <si>
    <t>총건수</t>
    <phoneticPr fontId="1" type="noConversion"/>
  </si>
  <si>
    <t>오류건수</t>
    <phoneticPr fontId="1" type="noConversion"/>
  </si>
  <si>
    <t>오류율</t>
    <phoneticPr fontId="1" type="noConversion"/>
  </si>
  <si>
    <t>데이터 값 유일성</t>
    <phoneticPr fontId="1" type="noConversion"/>
  </si>
  <si>
    <t>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</si>
</sst>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\ hh:mm:ss"/>
    <numFmt numFmtId="178" formatCode="0.000%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23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  <xf numFmtId="0" fontId="4" fillId="0" borderId="0"/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/>
    </xf>
    <xf numFmtId="0" fontId="0" fillId="0" borderId="0" xfId="0" applyAlignment="1"/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>
      <alignment vertical="center"/>
    </xf>
    <xf numFmtId="176" fontId="0" fillId="0" borderId="1" xfId="0" applyNumberFormat="1" applyBorder="1" applyAlignment="1"/>
    <xf numFmtId="0" fontId="4" fillId="0" borderId="0" xfId="3"/>
    <xf numFmtId="0" fontId="5" fillId="0" borderId="0" xfId="4" applyFont="1"/>
    <xf numFmtId="0" fontId="4" fillId="0" borderId="0" xfId="4"/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Fill="1" applyBorder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8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/>
    </xf>
    <xf numFmtId="0" fontId="0" fillId="4" borderId="0" xfId="0" applyFill="1">
      <alignment vertical="center"/>
    </xf>
    <xf numFmtId="9" fontId="0" fillId="0" borderId="0" xfId="2" applyFont="1">
      <alignment vertical="center"/>
    </xf>
    <xf numFmtId="41" fontId="0" fillId="0" borderId="0" xfId="1" applyFont="1">
      <alignment vertical="center"/>
    </xf>
    <xf numFmtId="178" fontId="0" fillId="0" borderId="0" xfId="2" applyNumberFormat="1" applyFont="1">
      <alignment vertical="center"/>
    </xf>
    <xf numFmtId="9" fontId="0" fillId="4" borderId="0" xfId="2" applyFont="1" applyFill="1">
      <alignment vertical="center"/>
    </xf>
    <xf numFmtId="41" fontId="0" fillId="4" borderId="0" xfId="1" applyFont="1" applyFill="1">
      <alignment vertical="center"/>
    </xf>
    <xf numFmtId="178" fontId="0" fillId="4" borderId="0" xfId="2" applyNumberFormat="1" applyFont="1" applyFill="1">
      <alignment vertical="center"/>
    </xf>
    <xf numFmtId="0" fontId="3" fillId="5" borderId="17" xfId="0" applyFont="1" applyFill="1" applyBorder="1">
      <alignment vertical="center"/>
    </xf>
    <xf numFmtId="41" fontId="3" fillId="5" borderId="17" xfId="1" applyFont="1" applyFill="1" applyBorder="1">
      <alignment vertical="center"/>
    </xf>
    <xf numFmtId="0" fontId="3" fillId="5" borderId="0" xfId="0" applyFont="1" applyFill="1">
      <alignment vertical="center"/>
    </xf>
  </cellXfs>
  <cellStyles count="5">
    <cellStyle name="백분율" xfId="2" builtinId="5"/>
    <cellStyle name="쉼표 [0]" xfId="1" builtinId="6"/>
    <cellStyle name="표준" xfId="0" builtinId="0"/>
    <cellStyle name="표준 12 10" xfId="3" xr:uid="{41B36B18-7B13-44B1-93D8-D14799972100}"/>
    <cellStyle name="표준_KEISJOB_엑셀템플릿(가로)" xfId="4" xr:uid="{4077FD2B-5EBC-488D-8D0F-9B61F624D928}"/>
  </cellStyles>
  <dxfs count="2">
    <dxf>
      <fill>
        <patternFill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1479177</xdr:colOff>
      <xdr:row>0</xdr:row>
      <xdr:rowOff>550545</xdr:rowOff>
    </xdr:from>
    <xdr:to>
      <xdr:col>0</xdr:col>
      <xdr:colOff>9868615</xdr:colOff>
      <xdr:row>0</xdr:row>
      <xdr:rowOff>996178</xdr:rowOff>
    </xdr:to>
    <xdr:sp macro="" textlink="$D$2">
      <xdr:nvSpPr>
        <xdr:cNvPr id="3" name="TextBox 2">
          <a:extLst>
            <a:ext uri="{FF2B5EF4-FFF2-40B4-BE49-F238E27FC236}">
              <a16:creationId xmlns:a16="http://schemas.microsoft.com/office/drawing/2014/main" id="{BD29F364-B185-471B-BE03-4A1EE309459A}"/>
            </a:ext>
          </a:extLst>
        </xdr:cNvPr>
        <xdr:cNvSpPr txBox="1"/>
      </xdr:nvSpPr>
      <xdr:spPr>
        <a:xfrm>
          <a:off x="1479177" y="550545"/>
          <a:ext cx="8389438" cy="445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r"/>
          <a:r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  <a:cs typeface="+mn-cs"/>
            </a:rPr>
            <a:t>실사용데이터</a:t>
          </a:r>
          <a:r>
            <a:rPr lang="en-US" altLang="ko-KR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  <a:cs typeface="+mn-cs"/>
            </a:rPr>
            <a:t>(RWD) </a:t>
          </a:r>
          <a:r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  <a:cs typeface="+mn-cs"/>
            </a:rPr>
            <a:t>기반의 임상연구 지원 사업</a:t>
          </a:r>
        </a:p>
      </xdr:txBody>
    </xdr:sp>
    <xdr:clientData/>
  </xdr:twoCellAnchor>
  <xdr:twoCellAnchor>
    <xdr:from>
      <xdr:col>0</xdr:col>
      <xdr:colOff>2108835</xdr:colOff>
      <xdr:row>0</xdr:row>
      <xdr:rowOff>975248</xdr:rowOff>
    </xdr:from>
    <xdr:to>
      <xdr:col>0</xdr:col>
      <xdr:colOff>9868614</xdr:colOff>
      <xdr:row>0</xdr:row>
      <xdr:rowOff>1401317</xdr:rowOff>
    </xdr:to>
    <xdr:sp macro="" textlink="$D$3">
      <xdr:nvSpPr>
        <xdr:cNvPr id="4" name="TextBox 3">
          <a:extLst>
            <a:ext uri="{FF2B5EF4-FFF2-40B4-BE49-F238E27FC236}">
              <a16:creationId xmlns:a16="http://schemas.microsoft.com/office/drawing/2014/main" id="{2A9971C3-2FA9-46E2-89A6-AF211AC459D8}"/>
            </a:ext>
          </a:extLst>
        </xdr:cNvPr>
        <xdr:cNvSpPr txBox="1"/>
      </xdr:nvSpPr>
      <xdr:spPr>
        <a:xfrm>
          <a:off x="2108835" y="975248"/>
          <a:ext cx="7759779" cy="426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E334E0FA-96FD-4959-B3C9-EBECF5F74AF4}" type="TxLink">
            <a:rPr lang="ko-KR" altLang="en-US" sz="16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업무규칙 및 프로파일링 구축 보고서</a:t>
          </a:fld>
          <a:endParaRPr lang="ko-KR" altLang="en-US" sz="16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6566647</xdr:colOff>
      <xdr:row>0</xdr:row>
      <xdr:rowOff>1445559</xdr:rowOff>
    </xdr:from>
    <xdr:ext cx="3395382" cy="75535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C6EA49-88DB-469F-B8BA-28E4C2EBC2B1}"/>
            </a:ext>
          </a:extLst>
        </xdr:cNvPr>
        <xdr:cNvSpPr txBox="1"/>
      </xdr:nvSpPr>
      <xdr:spPr>
        <a:xfrm>
          <a:off x="6566647" y="1445559"/>
          <a:ext cx="3395382" cy="7553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/>
          <a:r>
            <a:rPr lang="en-US" altLang="ko-KR" sz="1600" b="1">
              <a:latin typeface="휴먼엑스포" pitchFamily="18" charset="-127"/>
              <a:ea typeface="휴먼엑스포" pitchFamily="18" charset="-127"/>
            </a:rPr>
            <a:t>Version</a:t>
          </a:r>
          <a:r>
            <a:rPr lang="en-US" altLang="ko-KR" sz="1600" b="1" baseline="0">
              <a:latin typeface="휴먼엑스포" pitchFamily="18" charset="-127"/>
              <a:ea typeface="휴먼엑스포" pitchFamily="18" charset="-127"/>
            </a:rPr>
            <a:t> 1.0</a:t>
          </a:r>
          <a:r>
            <a:rPr lang="en-US" altLang="ko-KR" sz="1600" b="1">
              <a:latin typeface="휴먼엑스포" pitchFamily="18" charset="-127"/>
              <a:ea typeface="휴먼엑스포" pitchFamily="18" charset="-127"/>
            </a:rPr>
            <a:t> </a:t>
          </a:r>
          <a:endParaRPr lang="ko-KR" altLang="en-US" sz="16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410136</xdr:colOff>
      <xdr:row>0</xdr:row>
      <xdr:rowOff>1385048</xdr:rowOff>
    </xdr:from>
    <xdr:to>
      <xdr:col>0</xdr:col>
      <xdr:colOff>9820836</xdr:colOff>
      <xdr:row>0</xdr:row>
      <xdr:rowOff>1385048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72ECA857-669C-41A2-8551-E9152CC9BE2F}"/>
            </a:ext>
          </a:extLst>
        </xdr:cNvPr>
        <xdr:cNvCxnSpPr/>
      </xdr:nvCxnSpPr>
      <xdr:spPr bwMode="auto">
        <a:xfrm>
          <a:off x="410136" y="1385048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3899648</xdr:colOff>
      <xdr:row>0</xdr:row>
      <xdr:rowOff>3899648</xdr:rowOff>
    </xdr:from>
    <xdr:to>
      <xdr:col>0</xdr:col>
      <xdr:colOff>7048500</xdr:colOff>
      <xdr:row>0</xdr:row>
      <xdr:rowOff>4483590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D1B9C91-5444-A97B-0EDA-942BC6D2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9648" y="3899648"/>
          <a:ext cx="3148852" cy="58394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bi yu" refreshedDate="45715.645554976851" createdVersion="8" refreshedVersion="8" minRefreshableVersion="3" recordCount="50" xr:uid="{F8939DE2-13BB-4036-B46A-7AF7FB7559A1}">
  <cacheSource type="worksheet">
    <worksheetSource ref="A1:I51" sheet="5.업무규칙_결과"/>
  </cacheSource>
  <cacheFields count="9">
    <cacheField name="id" numFmtId="0">
      <sharedItems/>
    </cacheField>
    <cacheField name="테이블명" numFmtId="0">
      <sharedItems/>
    </cacheField>
    <cacheField name="컬럼명" numFmtId="0">
      <sharedItems/>
    </cacheField>
    <cacheField name="품질지표" numFmtId="0">
      <sharedItems count="4">
        <s v="완전성"/>
        <s v="유일성"/>
        <s v="유효성"/>
        <s v="일관성"/>
      </sharedItems>
    </cacheField>
    <cacheField name="품질상세지표" numFmtId="0">
      <sharedItems count="5">
        <s v="데이터 값 완전성"/>
        <s v="데이터 값 유일성"/>
        <s v="범위 유효성"/>
        <s v="관계 유효성"/>
        <s v="참조 무결 일관성"/>
      </sharedItems>
    </cacheField>
    <cacheField name="진단규칙내용" numFmtId="0">
      <sharedItems/>
    </cacheField>
    <cacheField name="오류 건수" numFmtId="0">
      <sharedItems containsSemiMixedTypes="0" containsString="0" containsNumber="1" containsInteger="1" minValue="0" maxValue="1216755"/>
    </cacheField>
    <cacheField name="총 건수" numFmtId="0">
      <sharedItems containsSemiMixedTypes="0" containsString="0" containsNumber="1" containsInteger="1" minValue="6147" maxValue="13568826"/>
    </cacheField>
    <cacheField name="오류율" numFmtId="0">
      <sharedItems containsSemiMixedTypes="0" containsString="0" containsNumber="1" minValue="0" maxValue="0.17144539087493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DQ_0001"/>
    <s v="person"/>
    <s v="person_source_value"/>
    <x v="0"/>
    <x v="0"/>
    <s v="person_source_value는 NULL이나 공백 데이터가 없어야 한다"/>
    <n v="0"/>
    <n v="6147"/>
    <n v="0"/>
  </r>
  <r>
    <s v="DQ_0002"/>
    <s v="person"/>
    <s v="person_source_value"/>
    <x v="1"/>
    <x v="1"/>
    <s v="person_source_value는 중복값 없이 유일해야 한다"/>
    <n v="0"/>
    <n v="6147"/>
    <n v="0"/>
  </r>
  <r>
    <s v="DQ_0003"/>
    <s v="person"/>
    <s v="year_of_birth"/>
    <x v="2"/>
    <x v="2"/>
    <s v="내일 이전 날짜로 채워져야 한다."/>
    <n v="0"/>
    <n v="6147"/>
    <n v="0"/>
  </r>
  <r>
    <s v="DQ_0004"/>
    <s v="person"/>
    <s v="month_of_birth"/>
    <x v="2"/>
    <x v="2"/>
    <s v="1에서 12사이의 값으로 채워져야 한다."/>
    <n v="0"/>
    <n v="6147"/>
    <n v="0"/>
  </r>
  <r>
    <s v="DQ_0005"/>
    <s v="person"/>
    <s v="day_of_birth"/>
    <x v="2"/>
    <x v="2"/>
    <s v="1에서 31 사이의 값으로 채워져야 한다."/>
    <n v="0"/>
    <n v="6147"/>
    <n v="0"/>
  </r>
  <r>
    <s v="DQ_0006"/>
    <s v="person"/>
    <s v="gender_source_value"/>
    <x v="0"/>
    <x v="0"/>
    <s v="gender_source_value는 null값이 아니어야한다."/>
    <n v="0"/>
    <n v="6147"/>
    <n v="0"/>
  </r>
  <r>
    <s v="DQ_0007"/>
    <s v="person"/>
    <s v="death_datetime"/>
    <x v="2"/>
    <x v="3"/>
    <s v="사망일이 환자 출생년도 이전이 될 수 없음"/>
    <n v="0"/>
    <n v="6147"/>
    <n v="0"/>
  </r>
  <r>
    <s v="DQ_0008"/>
    <s v="visit_occurrence"/>
    <s v="visit_occurrence_id"/>
    <x v="0"/>
    <x v="0"/>
    <s v="visit_occurrence_id컬럼에 NULL이나 공백 데이터가 존재할 수 없음"/>
    <n v="0"/>
    <n v="456446"/>
    <n v="0"/>
  </r>
  <r>
    <s v="DQ_0009"/>
    <s v="visit_occurrence"/>
    <s v="visit_occurrence_id"/>
    <x v="1"/>
    <x v="1"/>
    <s v="visit_occurrence_id는 중복값 없이 유일해야함"/>
    <n v="0"/>
    <n v="456446"/>
    <n v="0"/>
  </r>
  <r>
    <s v="DQ_0010"/>
    <s v="visit_occurrence"/>
    <s v="visit_start_date"/>
    <x v="2"/>
    <x v="3"/>
    <s v="visit_occurrence테이블의 visit_start_date 컬럼은 visit_end_date 보다 작거나 같아야 한다."/>
    <n v="0"/>
    <n v="456446"/>
    <n v="0"/>
  </r>
  <r>
    <s v="DQ_0011"/>
    <s v="visit_occurrence"/>
    <s v="visit_start_date"/>
    <x v="0"/>
    <x v="0"/>
    <s v="visit_start_date 데이터는 NULL데이터를 가질 수 없음"/>
    <n v="0"/>
    <n v="456446"/>
    <n v="0"/>
  </r>
  <r>
    <s v="DQ_0012"/>
    <s v="visit_occurrence"/>
    <s v="visit_start_datetime"/>
    <x v="0"/>
    <x v="0"/>
    <s v="visit_start_datetime 데이터는 NULL데이터를 가질 수 없음"/>
    <n v="0"/>
    <n v="456446"/>
    <n v="0"/>
  </r>
  <r>
    <s v="DQ_0013"/>
    <s v="visit_occurrence"/>
    <s v="person_id"/>
    <x v="3"/>
    <x v="4"/>
    <s v="visit_occurrence의 person_id는 person에 등록된 값이어야 함"/>
    <n v="0"/>
    <n v="456447"/>
    <n v="0"/>
  </r>
  <r>
    <s v="DQ_0014"/>
    <s v="visit_occurrence"/>
    <s v="visit_source_value"/>
    <x v="0"/>
    <x v="0"/>
    <s v="visit_source_value는 NULL 이나 공백 데이터를 허용하지 않는다."/>
    <n v="0"/>
    <n v="456446"/>
    <n v="0"/>
  </r>
  <r>
    <s v="DQ_0015"/>
    <s v="condition_occurrence"/>
    <s v="visit_occurrence_id"/>
    <x v="3"/>
    <x v="4"/>
    <s v="null 또는 0이 아니라면 condition_occurrence테이블의 visit_occurrence_id 컬럼은 visit_occurrence 테이블의 visit_occurrence_id 컬럼에 포함되어야 한다."/>
    <n v="13317"/>
    <n v="856762"/>
    <n v="1.554340645360088E-2"/>
  </r>
  <r>
    <s v="DQ_0016"/>
    <s v="drug_exposure"/>
    <s v="visit_occurrence_id"/>
    <x v="3"/>
    <x v="4"/>
    <s v="null 또는 0이 아니라면 drug_exposure테이블의 visit_occurrence_id 컬럼은 visit_occurrence 테이블의 visit_occurrence_id 컬럼에 포함되어야 한다."/>
    <n v="277231"/>
    <n v="3653167"/>
    <n v="7.588785292323072E-2"/>
  </r>
  <r>
    <s v="DQ_0017"/>
    <s v="measurement"/>
    <s v="visit_occurrence_id"/>
    <x v="3"/>
    <x v="4"/>
    <s v="null 또는 0이 아니라면 measurement테이블의 visit_occurrence_id 컬럼은 visit_occurrence 테이블의 visit_occurrence_id 컬럼에 포함되어야 한다."/>
    <n v="1216755"/>
    <n v="13568812"/>
    <n v="8.9672920518023239E-2"/>
  </r>
  <r>
    <s v="DQ_0018"/>
    <s v="procedure_occurrence"/>
    <s v="visit_occurrence_id"/>
    <x v="3"/>
    <x v="4"/>
    <s v="null 또는 0이 아니라면 procedure_occurrence테이블의 visit_occurrence_id 컬럼은 visit_occurrence 테이블의 visit_occurrence_id 컬럼에 포함되어야 한다."/>
    <n v="666932"/>
    <n v="3890055"/>
    <n v="0.17144539087493621"/>
  </r>
  <r>
    <s v="DQ_0019"/>
    <s v="condition_occurrence"/>
    <s v="condition_occurrence_id"/>
    <x v="0"/>
    <x v="0"/>
    <s v="condition_occurrence_id컬럼에 NULL이나 공백 데이터가 존재할 수 없음"/>
    <n v="0"/>
    <n v="856762"/>
    <n v="0"/>
  </r>
  <r>
    <s v="DQ_0020"/>
    <s v="condition_occurrence"/>
    <s v="condition_occurrence_id"/>
    <x v="1"/>
    <x v="1"/>
    <s v="condition_occurrence_id는 중복값 없이 유일해야함"/>
    <n v="0"/>
    <n v="856762"/>
    <n v="0"/>
  </r>
  <r>
    <s v="DQ_0021"/>
    <s v="condition_occurrence"/>
    <s v="condition_start_date"/>
    <x v="2"/>
    <x v="3"/>
    <s v="condition_occurrence테이블의 condition_start_date 컬럼은 condition_end_date 보다 작거나 같아야 한다."/>
    <n v="0"/>
    <n v="856762"/>
    <n v="0"/>
  </r>
  <r>
    <s v="DQ_0022"/>
    <s v="condition_occurrence"/>
    <s v="condition_start_date"/>
    <x v="0"/>
    <x v="0"/>
    <s v="condition_start_date 데이터는 NULL데이터를 가질 수 없음"/>
    <n v="0"/>
    <n v="856762"/>
    <n v="0"/>
  </r>
  <r>
    <s v="DQ_0023"/>
    <s v="condition_occurrence"/>
    <s v="condition_start_datetime"/>
    <x v="0"/>
    <x v="0"/>
    <s v="condition_start_datetime 데이터는 NULL데이터를 가질 수 없음"/>
    <n v="0"/>
    <n v="856762"/>
    <n v="0"/>
  </r>
  <r>
    <s v="DQ_0024"/>
    <s v="condition_occurrence"/>
    <s v="condition_source_value"/>
    <x v="0"/>
    <x v="0"/>
    <s v="condition_source_value는 NULL 이나 공백 데이터를 허용하지 않는다."/>
    <n v="65"/>
    <n v="856762"/>
    <n v="7.5867043589701697E-5"/>
  </r>
  <r>
    <s v="DQ_0025"/>
    <s v="condition_occurrence"/>
    <s v="person_id"/>
    <x v="3"/>
    <x v="4"/>
    <s v="condition_occurrence의 person_id는 person에 등록된 값이어야 함"/>
    <n v="0"/>
    <n v="856763"/>
    <n v="0"/>
  </r>
  <r>
    <s v="DQ_0026"/>
    <s v="drug_exposure"/>
    <s v="drug_exposure_id"/>
    <x v="0"/>
    <x v="0"/>
    <s v="drug_exposure_id컬럼에 NULL이나 공백 데이터가 존재할 수 없음"/>
    <n v="0"/>
    <n v="3653167"/>
    <n v="0"/>
  </r>
  <r>
    <s v="DQ_0027"/>
    <s v="drug_exposure"/>
    <s v="drug_exposure_id"/>
    <x v="1"/>
    <x v="1"/>
    <s v="drug_exposure_id는 중복값 없이 유일해야함"/>
    <n v="0"/>
    <n v="3653167"/>
    <n v="0"/>
  </r>
  <r>
    <s v="DQ_0028"/>
    <s v="drug_exposure"/>
    <s v="drug_exposure_start_date"/>
    <x v="2"/>
    <x v="3"/>
    <s v="drug_exposure테이블의 drug_start_date 컬럼은 drug_end_date 보다 작거나 같아야 한다."/>
    <n v="48"/>
    <n v="3653167"/>
    <n v="1.3139284352453639E-5"/>
  </r>
  <r>
    <s v="DQ_0029"/>
    <s v="drug_exposure"/>
    <s v="drug_exposure_start_date"/>
    <x v="0"/>
    <x v="0"/>
    <s v="drug_start_date 데이터는 NULL이나 공백 데이터를 가질 수 없음"/>
    <n v="0"/>
    <n v="3653167"/>
    <n v="0"/>
  </r>
  <r>
    <s v="DQ_0030"/>
    <s v="drug_exposure"/>
    <s v="drug_exposure_start_datetime"/>
    <x v="0"/>
    <x v="0"/>
    <s v="drug_start_datetime 데이터는 NULL이나 공백 데이터를 가질 수 없음"/>
    <n v="0"/>
    <n v="3653167"/>
    <n v="0"/>
  </r>
  <r>
    <s v="DQ_0031"/>
    <s v="drug_exposure"/>
    <s v="person_id"/>
    <x v="3"/>
    <x v="4"/>
    <s v="drug_exposure의 person_id는 person에 등록된 값이어야 함"/>
    <n v="0"/>
    <n v="3653200"/>
    <n v="0"/>
  </r>
  <r>
    <s v="DQ_0032"/>
    <s v="drug_exposure"/>
    <s v="drug_source_value"/>
    <x v="0"/>
    <x v="0"/>
    <s v="drug_source_value는 NULL 이나 공백 데이터를 허용하지 않는다."/>
    <n v="0"/>
    <n v="3653167"/>
    <n v="0"/>
  </r>
  <r>
    <s v="DQ_0033"/>
    <s v="measurement"/>
    <s v="measurement_id"/>
    <x v="0"/>
    <x v="0"/>
    <s v="measurement_id컬럼에 NULL이나 공백 데이터가 존재할 수 없음"/>
    <n v="0"/>
    <n v="13568812"/>
    <n v="0"/>
  </r>
  <r>
    <s v="DQ_0034"/>
    <s v="measurement"/>
    <s v="measurement_id"/>
    <x v="1"/>
    <x v="1"/>
    <s v="measurement_id는 중복값 없이 유일해야함"/>
    <n v="0"/>
    <n v="13568812"/>
    <n v="0"/>
  </r>
  <r>
    <s v="DQ_0035"/>
    <s v="measurement"/>
    <s v="measurement_date"/>
    <x v="0"/>
    <x v="0"/>
    <s v="measurement_date 데이터는 NULL데이터를 가질 수 없음"/>
    <n v="0"/>
    <n v="13568812"/>
    <n v="0"/>
  </r>
  <r>
    <s v="DQ_0036"/>
    <s v="measurement"/>
    <s v="measurement_datetime"/>
    <x v="0"/>
    <x v="0"/>
    <s v="measurement_datetime 데이터는 NULL데이터를 가질 수 없음"/>
    <n v="0"/>
    <n v="13568812"/>
    <n v="0"/>
  </r>
  <r>
    <s v="DQ_0037"/>
    <s v="measurement"/>
    <s v="person_id"/>
    <x v="3"/>
    <x v="4"/>
    <s v="measurement의 person_id는 person에 등록된 값이어야 함"/>
    <n v="0"/>
    <n v="13568826"/>
    <n v="0"/>
  </r>
  <r>
    <s v="DQ_0038"/>
    <s v="measurement"/>
    <s v="measurement_source_value"/>
    <x v="0"/>
    <x v="0"/>
    <s v="measurement_source_value는 NULL 이나 공백 데이터를 허용하지 않는다."/>
    <n v="0"/>
    <n v="13568812"/>
    <n v="0"/>
  </r>
  <r>
    <s v="DQ_0039"/>
    <s v="procedure_occurrence"/>
    <s v="procedure_occurrence_id"/>
    <x v="0"/>
    <x v="0"/>
    <s v="procedure_occurrence_id컬럼에 NULL이나 공백 데이터가 존재할 수 없음"/>
    <n v="0"/>
    <n v="3890055"/>
    <n v="0"/>
  </r>
  <r>
    <s v="DQ_0040"/>
    <s v="procedure_occurrence"/>
    <s v="procedure_occurrence_id"/>
    <x v="1"/>
    <x v="1"/>
    <s v="procedure_occurrence_id는 중복값 없이 유일해야함"/>
    <n v="0"/>
    <n v="3890055"/>
    <n v="0"/>
  </r>
  <r>
    <s v="DQ_0041"/>
    <s v="procedure_occurrence"/>
    <s v="procedure_date"/>
    <x v="0"/>
    <x v="0"/>
    <s v="procedure_date 데이터는 NULL데이터를 가질 수 없음"/>
    <n v="0"/>
    <n v="3890055"/>
    <n v="0"/>
  </r>
  <r>
    <s v="DQ_0042"/>
    <s v="procedure_occurrence"/>
    <s v="procedure_datetime"/>
    <x v="0"/>
    <x v="0"/>
    <s v="procedure_datetime 데이터는 NULL데이터를 가질 수 없음"/>
    <n v="0"/>
    <n v="3890055"/>
    <n v="0"/>
  </r>
  <r>
    <s v="DQ_0043"/>
    <s v="procedure_occurrence"/>
    <s v="person_id"/>
    <x v="3"/>
    <x v="4"/>
    <s v="procedure_occurrence의 person_id는 person에 등록된 값이어야 함"/>
    <n v="0"/>
    <n v="3890085"/>
    <n v="0"/>
  </r>
  <r>
    <s v="DQ_0044"/>
    <s v="procedure_occurrence"/>
    <s v="procedure_source_value"/>
    <x v="0"/>
    <x v="0"/>
    <s v="procedure_source_value는 NULL 이나 공백 데이터를 허용하지 않는다."/>
    <n v="0"/>
    <n v="3890055"/>
    <n v="0"/>
  </r>
  <r>
    <s v="DQ_0045"/>
    <s v="observation_period"/>
    <s v="observation_period_id"/>
    <x v="0"/>
    <x v="0"/>
    <s v="observation_period_id컬럼에 NULL이나 공백 데이터가 존재할 수 없음"/>
    <n v="0"/>
    <n v="6147"/>
    <n v="0"/>
  </r>
  <r>
    <s v="DQ_0046"/>
    <s v="observation_period"/>
    <s v="observation_period_id"/>
    <x v="1"/>
    <x v="1"/>
    <s v="observation_period_id는 중복값 없이 유일해야함"/>
    <n v="0"/>
    <n v="6147"/>
    <n v="0"/>
  </r>
  <r>
    <s v="DQ_0047"/>
    <s v="observation_period"/>
    <s v="observation_period_start_date"/>
    <x v="2"/>
    <x v="3"/>
    <s v="observation_period테이블의 observation_period_start_date 컬럼은 observation_period_end_date 보다 작거나 같아야 한다."/>
    <n v="0"/>
    <n v="6147"/>
    <n v="0"/>
  </r>
  <r>
    <s v="DQ_0048"/>
    <s v="observation_period"/>
    <s v="observation_period_start_date"/>
    <x v="0"/>
    <x v="0"/>
    <s v="observation_period_start_date 데이터는 NULL데이터를 가질 수 없음"/>
    <n v="0"/>
    <n v="6147"/>
    <n v="0"/>
  </r>
  <r>
    <s v="DQ_0049"/>
    <s v="observation_period"/>
    <s v="observation_period_end_date"/>
    <x v="0"/>
    <x v="0"/>
    <s v="observation_period_end_date 데이터는 NULL데이터를 가질 수 없음"/>
    <n v="0"/>
    <n v="6147"/>
    <n v="0"/>
  </r>
  <r>
    <s v="DQ_0050"/>
    <s v="observation_period"/>
    <s v="person_id"/>
    <x v="3"/>
    <x v="4"/>
    <s v="observation_period의 person_id는 person에 등록된 값이어야 함"/>
    <n v="0"/>
    <n v="614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E1A69-8AE8-4B0F-A851-9F347E90DA25}" name="피벗 테이블3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CDM">
  <location ref="C2:C12" firstHeaderRow="1" firstDataRow="1" firstDataCol="1"/>
  <pivotFields count="9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</pivotFields>
  <rowFields count="2">
    <field x="3"/>
    <field x="4"/>
  </rowFields>
  <rowItems count="10">
    <i>
      <x/>
    </i>
    <i r="1">
      <x v="1"/>
    </i>
    <i>
      <x v="1"/>
    </i>
    <i r="1">
      <x v="2"/>
    </i>
    <i>
      <x v="2"/>
    </i>
    <i r="1">
      <x/>
    </i>
    <i r="1">
      <x v="3"/>
    </i>
    <i>
      <x v="3"/>
    </i>
    <i r="1">
      <x v="4"/>
    </i>
    <i t="grand">
      <x/>
    </i>
  </rowItems>
  <colItems count="1">
    <i/>
  </colItems>
  <formats count="2">
    <format dxfId="1">
      <pivotArea dataOnly="0" labelOnly="1" grandRow="1" outline="0" fieldPosition="0"/>
    </format>
    <format dxfId="0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F445-6673-4286-BB34-2EE23FF794B2}">
  <dimension ref="C1:D5"/>
  <sheetViews>
    <sheetView view="pageBreakPreview" zoomScale="85" zoomScaleNormal="100" zoomScaleSheetLayoutView="85" workbookViewId="0">
      <selection activeCell="D3" sqref="D3"/>
    </sheetView>
    <sheetView showGridLines="0" tabSelected="1" view="pageBreakPreview" zoomScale="85" zoomScaleNormal="100" zoomScaleSheetLayoutView="85" workbookViewId="1">
      <selection activeCell="B1" sqref="B1:J7"/>
    </sheetView>
  </sheetViews>
  <sheetFormatPr defaultColWidth="9" defaultRowHeight="13.5" x14ac:dyDescent="0.15"/>
  <cols>
    <col min="1" max="1" width="144.625" style="8" customWidth="1"/>
    <col min="2" max="2" width="9" style="8"/>
    <col min="3" max="3" width="12.625" style="8" customWidth="1"/>
    <col min="4" max="16384" width="9" style="8"/>
  </cols>
  <sheetData>
    <row r="1" spans="3:4" ht="409.5" customHeight="1" x14ac:dyDescent="0.15"/>
    <row r="2" spans="3:4" ht="16.5" x14ac:dyDescent="0.3">
      <c r="C2" s="9" t="s">
        <v>502</v>
      </c>
      <c r="D2" s="10" t="s">
        <v>505</v>
      </c>
    </row>
    <row r="3" spans="3:4" ht="16.5" x14ac:dyDescent="0.3">
      <c r="C3" s="9" t="s">
        <v>503</v>
      </c>
      <c r="D3" s="9" t="s">
        <v>504</v>
      </c>
    </row>
    <row r="5" spans="3:4" ht="16.5" x14ac:dyDescent="0.3">
      <c r="C5" s="9"/>
      <c r="D5" s="9"/>
    </row>
  </sheetData>
  <phoneticPr fontId="1" type="noConversion"/>
  <pageMargins left="0.7" right="0.7" top="0.75" bottom="0.75" header="0.3" footer="0.3"/>
  <pageSetup paperSize="9" scale="48" orientation="portrait" r:id="rId1"/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C555-DBEF-4339-88C3-36F4A151318A}">
  <dimension ref="B1:F44"/>
  <sheetViews>
    <sheetView workbookViewId="0">
      <selection activeCell="F29" sqref="F29"/>
    </sheetView>
    <sheetView workbookViewId="1"/>
  </sheetViews>
  <sheetFormatPr defaultRowHeight="16.5" x14ac:dyDescent="0.3"/>
  <cols>
    <col min="2" max="2" width="29.25" bestFit="1" customWidth="1"/>
    <col min="3" max="3" width="13.875" bestFit="1" customWidth="1"/>
    <col min="4" max="4" width="12.125" bestFit="1" customWidth="1"/>
    <col min="5" max="5" width="15.875" bestFit="1" customWidth="1"/>
    <col min="6" max="6" width="123" customWidth="1"/>
  </cols>
  <sheetData>
    <row r="1" spans="2:6" ht="35.25" x14ac:dyDescent="0.3">
      <c r="B1" s="11" t="s">
        <v>506</v>
      </c>
      <c r="C1" s="11"/>
      <c r="D1" s="11"/>
      <c r="E1" s="11"/>
      <c r="F1" s="11"/>
    </row>
    <row r="2" spans="2:6" ht="35.25" hidden="1" x14ac:dyDescent="0.3">
      <c r="B2" s="12"/>
      <c r="C2" s="12"/>
      <c r="D2" s="12"/>
      <c r="E2" s="12"/>
      <c r="F2" s="12"/>
    </row>
    <row r="4" spans="2:6" ht="20.25" x14ac:dyDescent="0.3">
      <c r="B4" s="13" t="s">
        <v>507</v>
      </c>
    </row>
    <row r="5" spans="2:6" ht="21" thickBot="1" x14ac:dyDescent="0.35">
      <c r="B5" s="13"/>
    </row>
    <row r="6" spans="2:6" ht="20.25" thickBot="1" x14ac:dyDescent="0.35">
      <c r="B6" s="15" t="s">
        <v>508</v>
      </c>
      <c r="C6" s="16" t="s">
        <v>508</v>
      </c>
      <c r="D6" s="17" t="s">
        <v>509</v>
      </c>
      <c r="E6" s="17"/>
      <c r="F6" s="18" t="s">
        <v>510</v>
      </c>
    </row>
    <row r="7" spans="2:6" x14ac:dyDescent="0.3">
      <c r="B7" s="33" t="s">
        <v>517</v>
      </c>
      <c r="C7" s="27" t="s">
        <v>535</v>
      </c>
      <c r="D7" s="27" t="s">
        <v>509</v>
      </c>
      <c r="E7" s="27" t="s">
        <v>0</v>
      </c>
      <c r="F7" s="20" t="s">
        <v>521</v>
      </c>
    </row>
    <row r="8" spans="2:6" x14ac:dyDescent="0.3">
      <c r="B8" s="34"/>
      <c r="C8" s="25" t="s">
        <v>511</v>
      </c>
      <c r="D8" s="25" t="s">
        <v>512</v>
      </c>
      <c r="E8" s="25" t="s">
        <v>5</v>
      </c>
      <c r="F8" s="21" t="s">
        <v>520</v>
      </c>
    </row>
    <row r="9" spans="2:6" x14ac:dyDescent="0.3">
      <c r="B9" s="34"/>
      <c r="C9" s="26" t="s">
        <v>533</v>
      </c>
      <c r="D9" s="26" t="s">
        <v>513</v>
      </c>
      <c r="E9" s="25" t="s">
        <v>6</v>
      </c>
      <c r="F9" s="21" t="s">
        <v>519</v>
      </c>
    </row>
    <row r="10" spans="2:6" ht="49.5" x14ac:dyDescent="0.3">
      <c r="B10" s="34"/>
      <c r="C10" s="19"/>
      <c r="D10" s="19"/>
      <c r="E10" s="28" t="s">
        <v>7</v>
      </c>
      <c r="F10" s="21" t="s">
        <v>518</v>
      </c>
    </row>
    <row r="11" spans="2:6" x14ac:dyDescent="0.3">
      <c r="B11" s="34"/>
      <c r="C11" s="26" t="s">
        <v>516</v>
      </c>
      <c r="D11" s="26" t="s">
        <v>534</v>
      </c>
      <c r="E11" s="25" t="s">
        <v>8</v>
      </c>
      <c r="F11" s="21" t="s">
        <v>522</v>
      </c>
    </row>
    <row r="12" spans="2:6" x14ac:dyDescent="0.3">
      <c r="B12" s="34"/>
      <c r="C12" s="31"/>
      <c r="D12" s="31"/>
      <c r="E12" s="25" t="s">
        <v>9</v>
      </c>
      <c r="F12" s="21" t="s">
        <v>523</v>
      </c>
    </row>
    <row r="13" spans="2:6" x14ac:dyDescent="0.3">
      <c r="B13" s="34"/>
      <c r="C13" s="31"/>
      <c r="D13" s="31"/>
      <c r="E13" s="25" t="s">
        <v>10</v>
      </c>
      <c r="F13" s="21" t="s">
        <v>524</v>
      </c>
    </row>
    <row r="14" spans="2:6" x14ac:dyDescent="0.3">
      <c r="B14" s="34"/>
      <c r="C14" s="31"/>
      <c r="D14" s="31"/>
      <c r="E14" s="25" t="s">
        <v>11</v>
      </c>
      <c r="F14" s="21" t="s">
        <v>526</v>
      </c>
    </row>
    <row r="15" spans="2:6" x14ac:dyDescent="0.3">
      <c r="B15" s="34"/>
      <c r="C15" s="31"/>
      <c r="D15" s="31"/>
      <c r="E15" s="25" t="s">
        <v>12</v>
      </c>
      <c r="F15" s="21" t="s">
        <v>525</v>
      </c>
    </row>
    <row r="16" spans="2:6" x14ac:dyDescent="0.3">
      <c r="B16" s="34"/>
      <c r="C16" s="31"/>
      <c r="D16" s="31"/>
      <c r="E16" s="25" t="s">
        <v>13</v>
      </c>
      <c r="F16" s="21" t="s">
        <v>527</v>
      </c>
    </row>
    <row r="17" spans="2:6" x14ac:dyDescent="0.3">
      <c r="B17" s="34"/>
      <c r="C17" s="31"/>
      <c r="D17" s="31"/>
      <c r="E17" s="29">
        <v>0.25</v>
      </c>
      <c r="F17" s="21" t="s">
        <v>528</v>
      </c>
    </row>
    <row r="18" spans="2:6" x14ac:dyDescent="0.3">
      <c r="B18" s="34"/>
      <c r="C18" s="31"/>
      <c r="D18" s="31"/>
      <c r="E18" s="29">
        <v>0.5</v>
      </c>
      <c r="F18" s="21" t="s">
        <v>529</v>
      </c>
    </row>
    <row r="19" spans="2:6" x14ac:dyDescent="0.3">
      <c r="B19" s="34"/>
      <c r="C19" s="31"/>
      <c r="D19" s="31"/>
      <c r="E19" s="29">
        <v>0.75</v>
      </c>
      <c r="F19" s="21" t="s">
        <v>530</v>
      </c>
    </row>
    <row r="20" spans="2:6" x14ac:dyDescent="0.3">
      <c r="B20" s="34"/>
      <c r="C20" s="31"/>
      <c r="D20" s="31"/>
      <c r="E20" s="25" t="s">
        <v>14</v>
      </c>
      <c r="F20" s="21" t="s">
        <v>531</v>
      </c>
    </row>
    <row r="21" spans="2:6" x14ac:dyDescent="0.3">
      <c r="B21" s="34"/>
      <c r="C21" s="31"/>
      <c r="D21" s="31"/>
      <c r="E21" s="28" t="s">
        <v>15</v>
      </c>
      <c r="F21" s="21" t="s">
        <v>532</v>
      </c>
    </row>
    <row r="22" spans="2:6" ht="17.25" thickBot="1" x14ac:dyDescent="0.35">
      <c r="B22" s="35"/>
      <c r="C22" s="32"/>
      <c r="D22" s="32"/>
      <c r="E22" s="30" t="s">
        <v>16</v>
      </c>
      <c r="F22" s="22" t="s">
        <v>551</v>
      </c>
    </row>
    <row r="23" spans="2:6" x14ac:dyDescent="0.3">
      <c r="B23" s="33" t="s">
        <v>538</v>
      </c>
      <c r="C23" s="27" t="s">
        <v>535</v>
      </c>
      <c r="D23" s="27" t="s">
        <v>509</v>
      </c>
      <c r="E23" s="27" t="s">
        <v>0</v>
      </c>
      <c r="F23" s="20" t="s">
        <v>521</v>
      </c>
    </row>
    <row r="24" spans="2:6" x14ac:dyDescent="0.3">
      <c r="B24" s="34"/>
      <c r="C24" s="25" t="s">
        <v>511</v>
      </c>
      <c r="D24" s="25" t="s">
        <v>512</v>
      </c>
      <c r="E24" s="25" t="s">
        <v>5</v>
      </c>
      <c r="F24" s="21" t="s">
        <v>520</v>
      </c>
    </row>
    <row r="25" spans="2:6" x14ac:dyDescent="0.3">
      <c r="B25" s="34"/>
      <c r="C25" s="25" t="s">
        <v>533</v>
      </c>
      <c r="D25" s="25" t="s">
        <v>513</v>
      </c>
      <c r="E25" s="25" t="s">
        <v>6</v>
      </c>
      <c r="F25" s="21" t="s">
        <v>519</v>
      </c>
    </row>
    <row r="26" spans="2:6" x14ac:dyDescent="0.3">
      <c r="B26" s="34"/>
      <c r="C26" s="26" t="s">
        <v>536</v>
      </c>
      <c r="D26" s="26" t="s">
        <v>537</v>
      </c>
      <c r="E26" s="25" t="s">
        <v>316</v>
      </c>
      <c r="F26" s="23" t="s">
        <v>540</v>
      </c>
    </row>
    <row r="27" spans="2:6" x14ac:dyDescent="0.3">
      <c r="B27" s="34"/>
      <c r="C27" s="31"/>
      <c r="D27" s="31"/>
      <c r="E27" s="25" t="s">
        <v>317</v>
      </c>
      <c r="F27" s="23" t="s">
        <v>542</v>
      </c>
    </row>
    <row r="28" spans="2:6" x14ac:dyDescent="0.3">
      <c r="B28" s="34"/>
      <c r="C28" s="19"/>
      <c r="D28" s="19"/>
      <c r="E28" s="25" t="s">
        <v>318</v>
      </c>
      <c r="F28" s="23" t="s">
        <v>543</v>
      </c>
    </row>
    <row r="29" spans="2:6" x14ac:dyDescent="0.3">
      <c r="B29" s="34"/>
      <c r="C29" s="26" t="s">
        <v>514</v>
      </c>
      <c r="D29" s="26" t="s">
        <v>515</v>
      </c>
      <c r="E29" s="25" t="s">
        <v>431</v>
      </c>
      <c r="F29" s="23" t="s">
        <v>544</v>
      </c>
    </row>
    <row r="30" spans="2:6" x14ac:dyDescent="0.3">
      <c r="B30" s="34"/>
      <c r="C30" s="31"/>
      <c r="D30" s="31"/>
      <c r="E30" s="25" t="s">
        <v>432</v>
      </c>
      <c r="F30" s="23" t="s">
        <v>547</v>
      </c>
    </row>
    <row r="31" spans="2:6" x14ac:dyDescent="0.3">
      <c r="B31" s="34"/>
      <c r="C31" s="31"/>
      <c r="D31" s="31"/>
      <c r="E31" s="25" t="s">
        <v>433</v>
      </c>
      <c r="F31" s="23" t="s">
        <v>545</v>
      </c>
    </row>
    <row r="32" spans="2:6" x14ac:dyDescent="0.3">
      <c r="B32" s="34"/>
      <c r="C32" s="31"/>
      <c r="D32" s="31"/>
      <c r="E32" s="25" t="s">
        <v>434</v>
      </c>
      <c r="F32" s="23" t="s">
        <v>548</v>
      </c>
    </row>
    <row r="33" spans="2:6" ht="17.25" thickBot="1" x14ac:dyDescent="0.35">
      <c r="B33" s="35"/>
      <c r="C33" s="32"/>
      <c r="D33" s="32"/>
      <c r="E33" s="30" t="s">
        <v>435</v>
      </c>
      <c r="F33" s="24" t="s">
        <v>546</v>
      </c>
    </row>
    <row r="34" spans="2:6" x14ac:dyDescent="0.3">
      <c r="B34" s="33" t="s">
        <v>539</v>
      </c>
      <c r="C34" s="27" t="s">
        <v>535</v>
      </c>
      <c r="D34" s="27" t="s">
        <v>509</v>
      </c>
      <c r="E34" s="27" t="s">
        <v>0</v>
      </c>
      <c r="F34" s="20" t="s">
        <v>521</v>
      </c>
    </row>
    <row r="35" spans="2:6" x14ac:dyDescent="0.3">
      <c r="B35" s="34"/>
      <c r="C35" s="25" t="s">
        <v>511</v>
      </c>
      <c r="D35" s="25" t="s">
        <v>512</v>
      </c>
      <c r="E35" s="25" t="s">
        <v>5</v>
      </c>
      <c r="F35" s="21" t="s">
        <v>520</v>
      </c>
    </row>
    <row r="36" spans="2:6" x14ac:dyDescent="0.3">
      <c r="B36" s="34"/>
      <c r="C36" s="25" t="s">
        <v>533</v>
      </c>
      <c r="D36" s="25" t="s">
        <v>513</v>
      </c>
      <c r="E36" s="25" t="s">
        <v>6</v>
      </c>
      <c r="F36" s="21" t="s">
        <v>519</v>
      </c>
    </row>
    <row r="37" spans="2:6" x14ac:dyDescent="0.3">
      <c r="B37" s="34"/>
      <c r="C37" s="26" t="s">
        <v>536</v>
      </c>
      <c r="D37" s="26" t="s">
        <v>537</v>
      </c>
      <c r="E37" s="25" t="s">
        <v>316</v>
      </c>
      <c r="F37" s="23" t="s">
        <v>552</v>
      </c>
    </row>
    <row r="38" spans="2:6" x14ac:dyDescent="0.3">
      <c r="B38" s="34"/>
      <c r="C38" s="31"/>
      <c r="D38" s="31"/>
      <c r="E38" s="25" t="s">
        <v>317</v>
      </c>
      <c r="F38" s="23" t="s">
        <v>553</v>
      </c>
    </row>
    <row r="39" spans="2:6" x14ac:dyDescent="0.3">
      <c r="B39" s="34"/>
      <c r="C39" s="19"/>
      <c r="D39" s="19"/>
      <c r="E39" s="25" t="s">
        <v>318</v>
      </c>
      <c r="F39" s="23" t="s">
        <v>543</v>
      </c>
    </row>
    <row r="40" spans="2:6" x14ac:dyDescent="0.3">
      <c r="B40" s="34"/>
      <c r="C40" s="26" t="s">
        <v>514</v>
      </c>
      <c r="D40" s="26" t="s">
        <v>515</v>
      </c>
      <c r="E40" s="25" t="s">
        <v>319</v>
      </c>
      <c r="F40" s="23" t="s">
        <v>549</v>
      </c>
    </row>
    <row r="41" spans="2:6" x14ac:dyDescent="0.3">
      <c r="B41" s="34"/>
      <c r="C41" s="31"/>
      <c r="D41" s="31"/>
      <c r="E41" s="25" t="s">
        <v>320</v>
      </c>
      <c r="F41" s="23" t="s">
        <v>544</v>
      </c>
    </row>
    <row r="42" spans="2:6" ht="17.25" thickBot="1" x14ac:dyDescent="0.35">
      <c r="B42" s="35"/>
      <c r="C42" s="32"/>
      <c r="D42" s="32"/>
      <c r="E42" s="30" t="s">
        <v>321</v>
      </c>
      <c r="F42" s="24" t="s">
        <v>550</v>
      </c>
    </row>
    <row r="43" spans="2:6" x14ac:dyDescent="0.3">
      <c r="F43" s="14"/>
    </row>
    <row r="44" spans="2:6" x14ac:dyDescent="0.3">
      <c r="F44" s="14"/>
    </row>
  </sheetData>
  <mergeCells count="17">
    <mergeCell ref="D26:D28"/>
    <mergeCell ref="C29:C33"/>
    <mergeCell ref="D29:D33"/>
    <mergeCell ref="C37:C39"/>
    <mergeCell ref="D37:D39"/>
    <mergeCell ref="C40:C42"/>
    <mergeCell ref="D40:D42"/>
    <mergeCell ref="B7:B22"/>
    <mergeCell ref="B23:B33"/>
    <mergeCell ref="B34:B42"/>
    <mergeCell ref="C9:C10"/>
    <mergeCell ref="C11:C22"/>
    <mergeCell ref="D11:D22"/>
    <mergeCell ref="D9:D10"/>
    <mergeCell ref="C26:C28"/>
    <mergeCell ref="B1:F1"/>
    <mergeCell ref="D6:E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4"/>
  <sheetViews>
    <sheetView topLeftCell="F1" workbookViewId="0">
      <selection activeCell="P18" sqref="P18"/>
    </sheetView>
    <sheetView workbookViewId="1"/>
  </sheetViews>
  <sheetFormatPr defaultRowHeight="16.5" x14ac:dyDescent="0.3"/>
  <cols>
    <col min="2" max="2" width="25.125" style="3" customWidth="1"/>
    <col min="3" max="3" width="29.875" style="3" customWidth="1"/>
    <col min="4" max="4" width="22.25" style="3" customWidth="1"/>
    <col min="6" max="6" width="42.5" style="3" bestFit="1" customWidth="1"/>
    <col min="7" max="7" width="11.625" style="3" bestFit="1" customWidth="1"/>
    <col min="8" max="8" width="19.25" style="3" bestFit="1" customWidth="1"/>
    <col min="10" max="14" width="19.25" style="3" bestFit="1" customWidth="1"/>
    <col min="15" max="15" width="13.875" style="3" customWidth="1"/>
  </cols>
  <sheetData>
    <row r="1" spans="1:16" ht="33" customHeight="1" x14ac:dyDescent="0.3">
      <c r="A1" s="1" t="s">
        <v>0</v>
      </c>
      <c r="B1" s="1" t="s">
        <v>5</v>
      </c>
      <c r="C1" s="1" t="s">
        <v>6</v>
      </c>
      <c r="D1" s="5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6">
        <v>0.25</v>
      </c>
      <c r="L1" s="6">
        <v>0.5</v>
      </c>
      <c r="M1" s="6">
        <v>0.75</v>
      </c>
      <c r="N1" s="1" t="s">
        <v>14</v>
      </c>
      <c r="O1" s="5" t="s">
        <v>15</v>
      </c>
      <c r="P1" s="1" t="s">
        <v>16</v>
      </c>
    </row>
    <row r="2" spans="1:16" x14ac:dyDescent="0.3">
      <c r="A2" s="1" t="s">
        <v>17</v>
      </c>
      <c r="B2" s="1" t="s">
        <v>18</v>
      </c>
      <c r="C2" s="1" t="s">
        <v>19</v>
      </c>
      <c r="D2" s="1">
        <v>1003</v>
      </c>
      <c r="E2" s="1">
        <v>1003</v>
      </c>
      <c r="F2" s="1">
        <v>1</v>
      </c>
      <c r="G2" s="1">
        <v>1</v>
      </c>
      <c r="H2" s="1">
        <v>502</v>
      </c>
      <c r="I2" s="1">
        <v>289.68546160735548</v>
      </c>
      <c r="J2" s="1">
        <v>1</v>
      </c>
      <c r="K2" s="1">
        <v>251.5</v>
      </c>
      <c r="L2" s="1">
        <v>502</v>
      </c>
      <c r="M2" s="1">
        <v>752.5</v>
      </c>
      <c r="N2" s="1">
        <v>1003</v>
      </c>
      <c r="O2" s="1">
        <v>0</v>
      </c>
      <c r="P2" s="1">
        <v>0</v>
      </c>
    </row>
    <row r="3" spans="1:16" x14ac:dyDescent="0.3">
      <c r="A3" s="1" t="s">
        <v>17</v>
      </c>
      <c r="B3" s="1" t="s">
        <v>18</v>
      </c>
      <c r="C3" s="1" t="s">
        <v>20</v>
      </c>
      <c r="D3" s="1">
        <v>1003</v>
      </c>
      <c r="E3" s="1">
        <v>997</v>
      </c>
      <c r="F3" s="1" t="s">
        <v>21</v>
      </c>
      <c r="G3" s="1">
        <v>2</v>
      </c>
      <c r="H3" s="1"/>
      <c r="I3" s="1"/>
      <c r="J3" s="1"/>
      <c r="K3" s="1"/>
      <c r="L3" s="1"/>
      <c r="M3" s="1"/>
      <c r="N3" s="1"/>
      <c r="O3" s="1">
        <v>0</v>
      </c>
      <c r="P3" s="1">
        <v>0</v>
      </c>
    </row>
    <row r="4" spans="1:16" x14ac:dyDescent="0.3">
      <c r="A4" s="1" t="s">
        <v>17</v>
      </c>
      <c r="B4" s="1" t="s">
        <v>18</v>
      </c>
      <c r="C4" s="1" t="s">
        <v>22</v>
      </c>
      <c r="D4" s="1">
        <v>1003</v>
      </c>
      <c r="E4" s="1">
        <v>1</v>
      </c>
      <c r="F4" s="1">
        <v>0</v>
      </c>
      <c r="G4" s="1">
        <v>1003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 x14ac:dyDescent="0.3">
      <c r="A5" s="1" t="s">
        <v>17</v>
      </c>
      <c r="B5" s="1" t="s">
        <v>18</v>
      </c>
      <c r="C5" s="1" t="s">
        <v>23</v>
      </c>
      <c r="D5" s="1">
        <v>1003</v>
      </c>
      <c r="E5" s="1">
        <v>1</v>
      </c>
      <c r="F5" s="1">
        <v>417</v>
      </c>
      <c r="G5" s="1">
        <v>1003</v>
      </c>
      <c r="H5" s="1">
        <v>417</v>
      </c>
      <c r="I5" s="1">
        <v>0</v>
      </c>
      <c r="J5" s="1">
        <v>417</v>
      </c>
      <c r="K5" s="1">
        <v>417</v>
      </c>
      <c r="L5" s="1">
        <v>417</v>
      </c>
      <c r="M5" s="1">
        <v>417</v>
      </c>
      <c r="N5" s="1">
        <v>417</v>
      </c>
      <c r="O5" s="1">
        <v>0</v>
      </c>
      <c r="P5" s="1">
        <v>0</v>
      </c>
    </row>
    <row r="6" spans="1:16" x14ac:dyDescent="0.3">
      <c r="A6" s="1" t="s">
        <v>17</v>
      </c>
      <c r="B6" s="1" t="s">
        <v>18</v>
      </c>
      <c r="C6" s="1" t="s">
        <v>24</v>
      </c>
      <c r="D6" s="1">
        <v>1002</v>
      </c>
      <c r="E6" s="1">
        <v>1002</v>
      </c>
      <c r="F6" s="1" t="s">
        <v>25</v>
      </c>
      <c r="G6" s="1">
        <v>1</v>
      </c>
      <c r="H6" s="1"/>
      <c r="I6" s="1"/>
      <c r="J6" s="1"/>
      <c r="K6" s="1"/>
      <c r="L6" s="1"/>
      <c r="M6" s="1"/>
      <c r="N6" s="1"/>
      <c r="O6" s="1">
        <v>1</v>
      </c>
      <c r="P6" s="1">
        <v>9.9700897308075765E-4</v>
      </c>
    </row>
    <row r="7" spans="1:16" x14ac:dyDescent="0.3">
      <c r="A7" s="1" t="s">
        <v>17</v>
      </c>
      <c r="B7" s="1" t="s">
        <v>18</v>
      </c>
      <c r="C7" s="1" t="s">
        <v>26</v>
      </c>
      <c r="D7" s="1">
        <v>0</v>
      </c>
      <c r="E7" s="1">
        <v>0</v>
      </c>
      <c r="F7" s="1"/>
      <c r="G7" s="1">
        <v>0</v>
      </c>
      <c r="H7" s="1"/>
      <c r="I7" s="1"/>
      <c r="J7" s="1"/>
      <c r="K7" s="1"/>
      <c r="L7" s="1"/>
      <c r="M7" s="1"/>
      <c r="N7" s="1"/>
      <c r="O7" s="1">
        <v>1003</v>
      </c>
      <c r="P7" s="1">
        <v>1</v>
      </c>
    </row>
    <row r="8" spans="1:16" x14ac:dyDescent="0.3">
      <c r="A8" s="1" t="s">
        <v>27</v>
      </c>
      <c r="B8" s="1" t="s">
        <v>28</v>
      </c>
      <c r="C8" s="1" t="s">
        <v>29</v>
      </c>
      <c r="D8" s="1">
        <v>15270</v>
      </c>
      <c r="E8" s="1">
        <v>15270</v>
      </c>
      <c r="F8" s="1">
        <v>1</v>
      </c>
      <c r="G8" s="1">
        <v>1</v>
      </c>
      <c r="H8" s="1">
        <v>7635.5</v>
      </c>
      <c r="I8" s="1">
        <v>4408.2136404670773</v>
      </c>
      <c r="J8" s="1">
        <v>1</v>
      </c>
      <c r="K8" s="1">
        <v>3818.25</v>
      </c>
      <c r="L8" s="1">
        <v>7635.5</v>
      </c>
      <c r="M8" s="1">
        <v>11452.75</v>
      </c>
      <c r="N8" s="1">
        <v>15270</v>
      </c>
      <c r="O8" s="1">
        <v>0</v>
      </c>
      <c r="P8" s="1">
        <v>0</v>
      </c>
    </row>
    <row r="9" spans="1:16" x14ac:dyDescent="0.3">
      <c r="A9" s="1" t="s">
        <v>27</v>
      </c>
      <c r="B9" s="1" t="s">
        <v>28</v>
      </c>
      <c r="C9" s="1" t="s">
        <v>30</v>
      </c>
      <c r="D9" s="1">
        <v>15259</v>
      </c>
      <c r="E9" s="1">
        <v>13008</v>
      </c>
      <c r="F9" s="1" t="s">
        <v>31</v>
      </c>
      <c r="G9" s="1">
        <v>79</v>
      </c>
      <c r="H9" s="1"/>
      <c r="I9" s="1"/>
      <c r="J9" s="1"/>
      <c r="K9" s="1"/>
      <c r="L9" s="1"/>
      <c r="M9" s="1"/>
      <c r="N9" s="1"/>
      <c r="O9" s="1">
        <v>11</v>
      </c>
      <c r="P9" s="1">
        <v>7.2036673215455146E-4</v>
      </c>
    </row>
    <row r="10" spans="1:16" x14ac:dyDescent="0.3">
      <c r="A10" s="1" t="s">
        <v>27</v>
      </c>
      <c r="B10" s="1" t="s">
        <v>28</v>
      </c>
      <c r="C10" s="1" t="s">
        <v>32</v>
      </c>
      <c r="D10" s="1">
        <v>0</v>
      </c>
      <c r="E10" s="1">
        <v>0</v>
      </c>
      <c r="F10" s="1"/>
      <c r="G10" s="1">
        <v>0</v>
      </c>
      <c r="H10" s="1"/>
      <c r="I10" s="1"/>
      <c r="J10" s="1"/>
      <c r="K10" s="1"/>
      <c r="L10" s="1"/>
      <c r="M10" s="1"/>
      <c r="N10" s="1"/>
      <c r="O10" s="1">
        <v>15270</v>
      </c>
      <c r="P10" s="1">
        <v>1</v>
      </c>
    </row>
    <row r="11" spans="1:16" x14ac:dyDescent="0.3">
      <c r="A11" s="1" t="s">
        <v>27</v>
      </c>
      <c r="B11" s="1" t="s">
        <v>28</v>
      </c>
      <c r="C11" s="1" t="s">
        <v>33</v>
      </c>
      <c r="D11" s="1">
        <v>0</v>
      </c>
      <c r="E11" s="1">
        <v>0</v>
      </c>
      <c r="F11" s="1"/>
      <c r="G11" s="1">
        <v>0</v>
      </c>
      <c r="H11" s="1"/>
      <c r="I11" s="1"/>
      <c r="J11" s="1"/>
      <c r="K11" s="1"/>
      <c r="L11" s="1"/>
      <c r="M11" s="1"/>
      <c r="N11" s="1"/>
      <c r="O11" s="1">
        <v>15270</v>
      </c>
      <c r="P11" s="1">
        <v>1</v>
      </c>
    </row>
    <row r="12" spans="1:16" x14ac:dyDescent="0.3">
      <c r="A12" s="1" t="s">
        <v>27</v>
      </c>
      <c r="B12" s="1" t="s">
        <v>28</v>
      </c>
      <c r="C12" s="1" t="s">
        <v>34</v>
      </c>
      <c r="D12" s="1">
        <v>15270</v>
      </c>
      <c r="E12" s="1">
        <v>3</v>
      </c>
      <c r="F12" s="1">
        <v>0</v>
      </c>
      <c r="G12" s="1">
        <v>9007</v>
      </c>
      <c r="H12" s="1">
        <v>13362.31008513425</v>
      </c>
      <c r="I12" s="1">
        <v>16024.874745178109</v>
      </c>
      <c r="J12" s="1">
        <v>0</v>
      </c>
      <c r="K12" s="1">
        <v>0</v>
      </c>
      <c r="L12" s="1">
        <v>0</v>
      </c>
      <c r="M12" s="1">
        <v>32577</v>
      </c>
      <c r="N12" s="1">
        <v>32581</v>
      </c>
      <c r="O12" s="1">
        <v>0</v>
      </c>
      <c r="P12" s="1">
        <v>0</v>
      </c>
    </row>
    <row r="13" spans="1:16" x14ac:dyDescent="0.3">
      <c r="A13" s="1" t="s">
        <v>27</v>
      </c>
      <c r="B13" s="1" t="s">
        <v>28</v>
      </c>
      <c r="C13" s="1" t="s">
        <v>35</v>
      </c>
      <c r="D13" s="1">
        <v>6263</v>
      </c>
      <c r="E13" s="1">
        <v>2</v>
      </c>
      <c r="F13" s="1" t="s">
        <v>36</v>
      </c>
      <c r="G13" s="1">
        <v>3181</v>
      </c>
      <c r="H13" s="1"/>
      <c r="I13" s="1"/>
      <c r="J13" s="1"/>
      <c r="K13" s="1"/>
      <c r="L13" s="1"/>
      <c r="M13" s="1"/>
      <c r="N13" s="1"/>
      <c r="O13" s="1">
        <v>9007</v>
      </c>
      <c r="P13" s="1">
        <v>0.58984937786509495</v>
      </c>
    </row>
    <row r="14" spans="1:16" x14ac:dyDescent="0.3">
      <c r="A14" s="1" t="s">
        <v>27</v>
      </c>
      <c r="B14" s="1" t="s">
        <v>28</v>
      </c>
      <c r="C14" s="1" t="s">
        <v>19</v>
      </c>
      <c r="D14" s="1">
        <v>15254</v>
      </c>
      <c r="E14" s="1">
        <v>329</v>
      </c>
      <c r="F14" s="1">
        <v>413</v>
      </c>
      <c r="G14" s="1">
        <v>1334</v>
      </c>
      <c r="H14" s="1">
        <v>397.11708404352959</v>
      </c>
      <c r="I14" s="1">
        <v>210.7953576555841</v>
      </c>
      <c r="J14" s="1">
        <v>21</v>
      </c>
      <c r="K14" s="1">
        <v>230</v>
      </c>
      <c r="L14" s="1">
        <v>407</v>
      </c>
      <c r="M14" s="1">
        <v>536</v>
      </c>
      <c r="N14" s="1">
        <v>1001</v>
      </c>
      <c r="O14" s="1">
        <v>16</v>
      </c>
      <c r="P14" s="1">
        <v>1.0478061558611661E-3</v>
      </c>
    </row>
    <row r="15" spans="1:16" x14ac:dyDescent="0.3">
      <c r="A15" s="1" t="s">
        <v>27</v>
      </c>
      <c r="B15" s="1" t="s">
        <v>28</v>
      </c>
      <c r="C15" s="1" t="s">
        <v>20</v>
      </c>
      <c r="D15" s="1">
        <v>15254</v>
      </c>
      <c r="E15" s="1">
        <v>327</v>
      </c>
      <c r="F15" s="1" t="s">
        <v>37</v>
      </c>
      <c r="G15" s="1">
        <v>1334</v>
      </c>
      <c r="H15" s="1"/>
      <c r="I15" s="1"/>
      <c r="J15" s="1"/>
      <c r="K15" s="1"/>
      <c r="L15" s="1"/>
      <c r="M15" s="1"/>
      <c r="N15" s="1"/>
      <c r="O15" s="1">
        <v>16</v>
      </c>
      <c r="P15" s="1">
        <v>1.0478061558611661E-3</v>
      </c>
    </row>
    <row r="16" spans="1:16" x14ac:dyDescent="0.3">
      <c r="A16" s="1" t="s">
        <v>27</v>
      </c>
      <c r="B16" s="1" t="s">
        <v>28</v>
      </c>
      <c r="C16" s="1" t="s">
        <v>38</v>
      </c>
      <c r="D16" s="1">
        <v>0</v>
      </c>
      <c r="E16" s="1">
        <v>0</v>
      </c>
      <c r="F16" s="1"/>
      <c r="G16" s="1">
        <v>0</v>
      </c>
      <c r="H16" s="1"/>
      <c r="I16" s="1"/>
      <c r="J16" s="1"/>
      <c r="K16" s="1"/>
      <c r="L16" s="1"/>
      <c r="M16" s="1"/>
      <c r="N16" s="1"/>
      <c r="O16" s="1">
        <v>15270</v>
      </c>
      <c r="P16" s="1">
        <v>1</v>
      </c>
    </row>
    <row r="17" spans="1:16" x14ac:dyDescent="0.3">
      <c r="A17" s="1" t="s">
        <v>27</v>
      </c>
      <c r="B17" s="1" t="s">
        <v>28</v>
      </c>
      <c r="C17" s="1" t="s">
        <v>39</v>
      </c>
      <c r="D17" s="1">
        <v>15270</v>
      </c>
      <c r="E17" s="1">
        <v>1</v>
      </c>
      <c r="F17" s="1">
        <v>0</v>
      </c>
      <c r="G17" s="1">
        <v>15270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x14ac:dyDescent="0.3">
      <c r="A18" s="1" t="s">
        <v>27</v>
      </c>
      <c r="B18" s="1" t="s">
        <v>28</v>
      </c>
      <c r="C18" s="1" t="s">
        <v>40</v>
      </c>
      <c r="D18" s="1">
        <v>15269</v>
      </c>
      <c r="E18" s="1">
        <v>15269</v>
      </c>
      <c r="F18" s="1" t="s">
        <v>41</v>
      </c>
      <c r="G18" s="1">
        <v>1</v>
      </c>
      <c r="H18" s="1"/>
      <c r="I18" s="1"/>
      <c r="J18" s="1"/>
      <c r="K18" s="1"/>
      <c r="L18" s="1"/>
      <c r="M18" s="1"/>
      <c r="N18" s="1"/>
      <c r="O18" s="1">
        <v>1</v>
      </c>
      <c r="P18" s="1">
        <v>6.5487884741322852E-5</v>
      </c>
    </row>
    <row r="19" spans="1:16" x14ac:dyDescent="0.3">
      <c r="A19" s="1" t="s">
        <v>27</v>
      </c>
      <c r="B19" s="1" t="s">
        <v>28</v>
      </c>
      <c r="C19" s="1" t="s">
        <v>42</v>
      </c>
      <c r="D19" s="1">
        <v>11411</v>
      </c>
      <c r="E19" s="1">
        <v>106</v>
      </c>
      <c r="F19" s="1" t="s">
        <v>43</v>
      </c>
      <c r="G19" s="1">
        <v>2478</v>
      </c>
      <c r="H19" s="1"/>
      <c r="I19" s="1"/>
      <c r="J19" s="1"/>
      <c r="K19" s="1"/>
      <c r="L19" s="1"/>
      <c r="M19" s="1"/>
      <c r="N19" s="1"/>
      <c r="O19" s="1">
        <v>3859</v>
      </c>
      <c r="P19" s="1">
        <v>0.25271774721676488</v>
      </c>
    </row>
    <row r="20" spans="1:16" x14ac:dyDescent="0.3">
      <c r="A20" s="1" t="s">
        <v>27</v>
      </c>
      <c r="B20" s="1" t="s">
        <v>28</v>
      </c>
      <c r="C20" s="1" t="s">
        <v>44</v>
      </c>
      <c r="D20" s="1">
        <v>15270</v>
      </c>
      <c r="E20" s="1">
        <v>104</v>
      </c>
      <c r="F20" s="1" t="s">
        <v>45</v>
      </c>
      <c r="G20" s="1">
        <v>3862</v>
      </c>
      <c r="H20" s="1"/>
      <c r="I20" s="1"/>
      <c r="J20" s="1"/>
      <c r="K20" s="1"/>
      <c r="L20" s="1"/>
      <c r="M20" s="1"/>
      <c r="N20" s="1"/>
      <c r="O20" s="1">
        <v>0</v>
      </c>
      <c r="P20" s="1">
        <v>0</v>
      </c>
    </row>
    <row r="21" spans="1:16" x14ac:dyDescent="0.3">
      <c r="A21" s="1" t="s">
        <v>27</v>
      </c>
      <c r="B21" s="1" t="s">
        <v>28</v>
      </c>
      <c r="C21" s="1" t="s">
        <v>46</v>
      </c>
      <c r="D21" s="1">
        <v>15270</v>
      </c>
      <c r="E21" s="1">
        <v>1</v>
      </c>
      <c r="F21" s="1">
        <v>0</v>
      </c>
      <c r="G21" s="1">
        <v>15270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x14ac:dyDescent="0.3">
      <c r="A22" s="1" t="s">
        <v>27</v>
      </c>
      <c r="B22" s="1" t="s">
        <v>28</v>
      </c>
      <c r="C22" s="1" t="s">
        <v>47</v>
      </c>
      <c r="D22" s="1">
        <v>0</v>
      </c>
      <c r="E22" s="1">
        <v>0</v>
      </c>
      <c r="F22" s="1"/>
      <c r="G22" s="1">
        <v>0</v>
      </c>
      <c r="H22" s="1"/>
      <c r="I22" s="1"/>
      <c r="J22" s="1"/>
      <c r="K22" s="1"/>
      <c r="L22" s="1"/>
      <c r="M22" s="1"/>
      <c r="N22" s="1"/>
      <c r="O22" s="1">
        <v>15270</v>
      </c>
      <c r="P22" s="1">
        <v>1</v>
      </c>
    </row>
    <row r="23" spans="1:16" x14ac:dyDescent="0.3">
      <c r="A23" s="1" t="s">
        <v>27</v>
      </c>
      <c r="B23" s="1" t="s">
        <v>28</v>
      </c>
      <c r="C23" s="1" t="s">
        <v>48</v>
      </c>
      <c r="D23" s="1">
        <v>15270</v>
      </c>
      <c r="E23" s="1">
        <v>1</v>
      </c>
      <c r="F23" s="1">
        <v>0</v>
      </c>
      <c r="G23" s="1">
        <v>15270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x14ac:dyDescent="0.3">
      <c r="A24" s="1" t="s">
        <v>49</v>
      </c>
      <c r="B24" s="1" t="s">
        <v>50</v>
      </c>
      <c r="C24" s="1" t="s">
        <v>51</v>
      </c>
      <c r="D24" s="1">
        <v>6147</v>
      </c>
      <c r="E24" s="1">
        <v>6147</v>
      </c>
      <c r="F24" s="1">
        <v>1</v>
      </c>
      <c r="G24" s="1">
        <v>1</v>
      </c>
      <c r="H24" s="1">
        <v>3074</v>
      </c>
      <c r="I24" s="1">
        <v>1774.6303840518451</v>
      </c>
      <c r="J24" s="1">
        <v>1</v>
      </c>
      <c r="K24" s="1">
        <v>1537.5</v>
      </c>
      <c r="L24" s="1">
        <v>3074</v>
      </c>
      <c r="M24" s="1">
        <v>4610.5</v>
      </c>
      <c r="N24" s="1">
        <v>6147</v>
      </c>
      <c r="O24" s="1">
        <v>0</v>
      </c>
      <c r="P24" s="1">
        <v>0</v>
      </c>
    </row>
    <row r="25" spans="1:16" x14ac:dyDescent="0.3">
      <c r="A25" s="1" t="s">
        <v>49</v>
      </c>
      <c r="B25" s="1" t="s">
        <v>50</v>
      </c>
      <c r="C25" s="1" t="s">
        <v>39</v>
      </c>
      <c r="D25" s="1">
        <v>6147</v>
      </c>
      <c r="E25" s="1">
        <v>2</v>
      </c>
      <c r="F25" s="1">
        <v>8532</v>
      </c>
      <c r="G25" s="1">
        <v>3223</v>
      </c>
      <c r="H25" s="1">
        <v>8520.1080201724417</v>
      </c>
      <c r="I25" s="1">
        <v>12.486219378106419</v>
      </c>
      <c r="J25" s="1">
        <v>8507</v>
      </c>
      <c r="K25" s="1">
        <v>8507</v>
      </c>
      <c r="L25" s="1">
        <v>8532</v>
      </c>
      <c r="M25" s="1">
        <v>8532</v>
      </c>
      <c r="N25" s="1">
        <v>8532</v>
      </c>
      <c r="O25" s="1">
        <v>0</v>
      </c>
      <c r="P25" s="1">
        <v>0</v>
      </c>
    </row>
    <row r="26" spans="1:16" x14ac:dyDescent="0.3">
      <c r="A26" s="1" t="s">
        <v>49</v>
      </c>
      <c r="B26" s="1" t="s">
        <v>50</v>
      </c>
      <c r="C26" s="1" t="s">
        <v>38</v>
      </c>
      <c r="D26" s="1">
        <v>6147</v>
      </c>
      <c r="E26" s="1">
        <v>111</v>
      </c>
      <c r="F26" s="1">
        <v>1942</v>
      </c>
      <c r="G26" s="1">
        <v>177</v>
      </c>
      <c r="H26" s="1">
        <v>1962.7589067837971</v>
      </c>
      <c r="I26" s="1">
        <v>27.756386118574969</v>
      </c>
      <c r="J26" s="1">
        <v>1903</v>
      </c>
      <c r="K26" s="1">
        <v>1941</v>
      </c>
      <c r="L26" s="1">
        <v>1954</v>
      </c>
      <c r="M26" s="1">
        <v>1980</v>
      </c>
      <c r="N26" s="1">
        <v>2023</v>
      </c>
      <c r="O26" s="1">
        <v>0</v>
      </c>
      <c r="P26" s="1">
        <v>0</v>
      </c>
    </row>
    <row r="27" spans="1:16" x14ac:dyDescent="0.3">
      <c r="A27" s="1" t="s">
        <v>49</v>
      </c>
      <c r="B27" s="1" t="s">
        <v>50</v>
      </c>
      <c r="C27" s="1" t="s">
        <v>52</v>
      </c>
      <c r="D27" s="1">
        <v>6147</v>
      </c>
      <c r="E27" s="1">
        <v>12</v>
      </c>
      <c r="F27" s="1">
        <v>1</v>
      </c>
      <c r="G27" s="1">
        <v>636</v>
      </c>
      <c r="H27" s="1">
        <v>6.2571986334797458</v>
      </c>
      <c r="I27" s="1">
        <v>3.5638924157083269</v>
      </c>
      <c r="J27" s="1">
        <v>1</v>
      </c>
      <c r="K27" s="1">
        <v>3</v>
      </c>
      <c r="L27" s="1">
        <v>6</v>
      </c>
      <c r="M27" s="1">
        <v>9</v>
      </c>
      <c r="N27" s="1">
        <v>12</v>
      </c>
      <c r="O27" s="1">
        <v>0</v>
      </c>
      <c r="P27" s="1">
        <v>0</v>
      </c>
    </row>
    <row r="28" spans="1:16" x14ac:dyDescent="0.3">
      <c r="A28" s="1" t="s">
        <v>49</v>
      </c>
      <c r="B28" s="1" t="s">
        <v>50</v>
      </c>
      <c r="C28" s="1" t="s">
        <v>53</v>
      </c>
      <c r="D28" s="1">
        <v>6147</v>
      </c>
      <c r="E28" s="1">
        <v>31</v>
      </c>
      <c r="F28" s="1">
        <v>20</v>
      </c>
      <c r="G28" s="1">
        <v>328</v>
      </c>
      <c r="H28" s="1">
        <v>15.119733203188551</v>
      </c>
      <c r="I28" s="1">
        <v>8.6509667044020286</v>
      </c>
      <c r="J28" s="1">
        <v>1</v>
      </c>
      <c r="K28" s="1">
        <v>8</v>
      </c>
      <c r="L28" s="1">
        <v>15</v>
      </c>
      <c r="M28" s="1">
        <v>22</v>
      </c>
      <c r="N28" s="1">
        <v>31</v>
      </c>
      <c r="O28" s="1">
        <v>0</v>
      </c>
      <c r="P28" s="1">
        <v>0</v>
      </c>
    </row>
    <row r="29" spans="1:16" x14ac:dyDescent="0.3">
      <c r="A29" s="1" t="s">
        <v>49</v>
      </c>
      <c r="B29" s="1" t="s">
        <v>50</v>
      </c>
      <c r="C29" s="1" t="s">
        <v>54</v>
      </c>
      <c r="D29" s="1">
        <v>6147</v>
      </c>
      <c r="E29" s="1">
        <v>5403</v>
      </c>
      <c r="F29" s="7">
        <v>12804</v>
      </c>
      <c r="G29" s="1">
        <v>6</v>
      </c>
      <c r="H29" s="7">
        <v>23097.510818287039</v>
      </c>
      <c r="I29" s="1"/>
      <c r="J29" s="7">
        <v>1295</v>
      </c>
      <c r="K29" s="7">
        <v>15259</v>
      </c>
      <c r="L29" s="7">
        <v>20011</v>
      </c>
      <c r="M29" s="7">
        <v>29228</v>
      </c>
      <c r="N29" s="7">
        <v>45234</v>
      </c>
      <c r="O29" s="1">
        <v>0</v>
      </c>
      <c r="P29" s="1">
        <v>0</v>
      </c>
    </row>
    <row r="30" spans="1:16" x14ac:dyDescent="0.3">
      <c r="A30" s="1" t="s">
        <v>49</v>
      </c>
      <c r="B30" s="1" t="s">
        <v>50</v>
      </c>
      <c r="C30" s="1" t="s">
        <v>55</v>
      </c>
      <c r="D30" s="1">
        <v>391</v>
      </c>
      <c r="E30" s="1">
        <v>344</v>
      </c>
      <c r="F30" s="7">
        <v>44641</v>
      </c>
      <c r="G30" s="1">
        <v>3</v>
      </c>
      <c r="H30" s="7">
        <v>44172.74680306713</v>
      </c>
      <c r="I30" s="1"/>
      <c r="J30" s="7">
        <v>37227</v>
      </c>
      <c r="K30" s="7">
        <v>44220</v>
      </c>
      <c r="L30" s="7">
        <v>44707</v>
      </c>
      <c r="M30" s="7">
        <v>45000</v>
      </c>
      <c r="N30" s="7">
        <v>45354</v>
      </c>
      <c r="O30" s="1">
        <v>5756</v>
      </c>
      <c r="P30" s="1">
        <v>0.93639173580608426</v>
      </c>
    </row>
    <row r="31" spans="1:16" x14ac:dyDescent="0.3">
      <c r="A31" s="1" t="s">
        <v>49</v>
      </c>
      <c r="B31" s="1" t="s">
        <v>50</v>
      </c>
      <c r="C31" s="1" t="s">
        <v>56</v>
      </c>
      <c r="D31" s="1">
        <v>6147</v>
      </c>
      <c r="E31" s="1">
        <v>2</v>
      </c>
      <c r="F31" s="1">
        <v>38003585</v>
      </c>
      <c r="G31" s="1">
        <v>6083</v>
      </c>
      <c r="H31" s="1">
        <v>37607996.56466569</v>
      </c>
      <c r="I31" s="1">
        <v>3856983.995304029</v>
      </c>
      <c r="J31" s="1">
        <v>8552</v>
      </c>
      <c r="K31" s="1">
        <v>38003585</v>
      </c>
      <c r="L31" s="1">
        <v>38003585</v>
      </c>
      <c r="M31" s="1">
        <v>38003585</v>
      </c>
      <c r="N31" s="1">
        <v>38003585</v>
      </c>
      <c r="O31" s="1">
        <v>0</v>
      </c>
      <c r="P31" s="1">
        <v>0</v>
      </c>
    </row>
    <row r="32" spans="1:16" x14ac:dyDescent="0.3">
      <c r="A32" s="1" t="s">
        <v>49</v>
      </c>
      <c r="B32" s="1" t="s">
        <v>50</v>
      </c>
      <c r="C32" s="1" t="s">
        <v>57</v>
      </c>
      <c r="D32" s="1">
        <v>0</v>
      </c>
      <c r="E32" s="1">
        <v>0</v>
      </c>
      <c r="F32" s="1"/>
      <c r="G32" s="1">
        <v>0</v>
      </c>
      <c r="H32" s="1"/>
      <c r="I32" s="1"/>
      <c r="J32" s="1"/>
      <c r="K32" s="1"/>
      <c r="L32" s="1"/>
      <c r="M32" s="1"/>
      <c r="N32" s="1"/>
      <c r="O32" s="1">
        <v>6147</v>
      </c>
      <c r="P32" s="1">
        <v>1</v>
      </c>
    </row>
    <row r="33" spans="1:16" x14ac:dyDescent="0.3">
      <c r="A33" s="1" t="s">
        <v>49</v>
      </c>
      <c r="B33" s="1" t="s">
        <v>50</v>
      </c>
      <c r="C33" s="1" t="s">
        <v>23</v>
      </c>
      <c r="D33" s="1">
        <v>6147</v>
      </c>
      <c r="E33" s="1">
        <v>141</v>
      </c>
      <c r="F33" s="1">
        <v>417</v>
      </c>
      <c r="G33" s="1">
        <v>771</v>
      </c>
      <c r="H33" s="1">
        <v>383.93574101187568</v>
      </c>
      <c r="I33" s="1">
        <v>108.0933022643821</v>
      </c>
      <c r="J33" s="1">
        <v>0</v>
      </c>
      <c r="K33" s="1">
        <v>409</v>
      </c>
      <c r="L33" s="1">
        <v>416</v>
      </c>
      <c r="M33" s="1">
        <v>418</v>
      </c>
      <c r="N33" s="1">
        <v>451</v>
      </c>
      <c r="O33" s="1">
        <v>0</v>
      </c>
      <c r="P33" s="1">
        <v>0</v>
      </c>
    </row>
    <row r="34" spans="1:16" x14ac:dyDescent="0.3">
      <c r="A34" s="1" t="s">
        <v>49</v>
      </c>
      <c r="B34" s="1" t="s">
        <v>50</v>
      </c>
      <c r="C34" s="1" t="s">
        <v>29</v>
      </c>
      <c r="D34" s="1">
        <v>6147</v>
      </c>
      <c r="E34" s="1">
        <v>1</v>
      </c>
      <c r="F34" s="1">
        <v>0</v>
      </c>
      <c r="G34" s="1">
        <v>6147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x14ac:dyDescent="0.3">
      <c r="A35" s="1" t="s">
        <v>49</v>
      </c>
      <c r="B35" s="1" t="s">
        <v>50</v>
      </c>
      <c r="C35" s="1" t="s">
        <v>19</v>
      </c>
      <c r="D35" s="1">
        <v>6147</v>
      </c>
      <c r="E35" s="1">
        <v>1</v>
      </c>
      <c r="F35" s="1">
        <v>0</v>
      </c>
      <c r="G35" s="1">
        <v>6147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x14ac:dyDescent="0.3">
      <c r="A36" s="1" t="s">
        <v>49</v>
      </c>
      <c r="B36" s="1" t="s">
        <v>50</v>
      </c>
      <c r="C36" s="1" t="s">
        <v>58</v>
      </c>
      <c r="D36" s="1">
        <v>6147</v>
      </c>
      <c r="E36" s="1">
        <v>6147</v>
      </c>
      <c r="F36" s="1">
        <v>111719</v>
      </c>
      <c r="G36" s="1">
        <v>1</v>
      </c>
      <c r="H36" s="1">
        <v>1441039.1960305839</v>
      </c>
      <c r="I36" s="1">
        <v>542431.21221563977</v>
      </c>
      <c r="J36" s="1">
        <v>111719</v>
      </c>
      <c r="K36" s="1">
        <v>1019793</v>
      </c>
      <c r="L36" s="1">
        <v>1439461</v>
      </c>
      <c r="M36" s="1">
        <v>1940806.5</v>
      </c>
      <c r="N36" s="1">
        <v>3064617</v>
      </c>
      <c r="O36" s="1">
        <v>0</v>
      </c>
      <c r="P36" s="1">
        <v>0</v>
      </c>
    </row>
    <row r="37" spans="1:16" x14ac:dyDescent="0.3">
      <c r="A37" s="1" t="s">
        <v>49</v>
      </c>
      <c r="B37" s="1" t="s">
        <v>50</v>
      </c>
      <c r="C37" s="1" t="s">
        <v>59</v>
      </c>
      <c r="D37" s="1">
        <v>6147</v>
      </c>
      <c r="E37" s="1">
        <v>5450</v>
      </c>
      <c r="F37" s="1" t="s">
        <v>60</v>
      </c>
      <c r="G37" s="1">
        <v>13</v>
      </c>
      <c r="H37" s="1"/>
      <c r="I37" s="1"/>
      <c r="J37" s="1"/>
      <c r="K37" s="1"/>
      <c r="L37" s="1"/>
      <c r="M37" s="1"/>
      <c r="N37" s="1"/>
      <c r="O37" s="1">
        <v>0</v>
      </c>
      <c r="P37" s="1">
        <v>0</v>
      </c>
    </row>
    <row r="38" spans="1:16" x14ac:dyDescent="0.3">
      <c r="A38" s="1" t="s">
        <v>49</v>
      </c>
      <c r="B38" s="1" t="s">
        <v>50</v>
      </c>
      <c r="C38" s="1" t="s">
        <v>47</v>
      </c>
      <c r="D38" s="1">
        <v>6147</v>
      </c>
      <c r="E38" s="1">
        <v>2</v>
      </c>
      <c r="F38" s="1" t="s">
        <v>61</v>
      </c>
      <c r="G38" s="1">
        <v>3223</v>
      </c>
      <c r="H38" s="1"/>
      <c r="I38" s="1"/>
      <c r="J38" s="1"/>
      <c r="K38" s="1"/>
      <c r="L38" s="1"/>
      <c r="M38" s="1"/>
      <c r="N38" s="1"/>
      <c r="O38" s="1">
        <v>0</v>
      </c>
      <c r="P38" s="1">
        <v>0</v>
      </c>
    </row>
    <row r="39" spans="1:16" x14ac:dyDescent="0.3">
      <c r="A39" s="1" t="s">
        <v>49</v>
      </c>
      <c r="B39" s="1" t="s">
        <v>50</v>
      </c>
      <c r="C39" s="1" t="s">
        <v>48</v>
      </c>
      <c r="D39" s="1">
        <v>6147</v>
      </c>
      <c r="E39" s="1">
        <v>2</v>
      </c>
      <c r="F39" s="1">
        <v>8532</v>
      </c>
      <c r="G39" s="1">
        <v>3223</v>
      </c>
      <c r="H39" s="1">
        <v>8520.1080201724417</v>
      </c>
      <c r="I39" s="1">
        <v>12.486219378106419</v>
      </c>
      <c r="J39" s="1">
        <v>8507</v>
      </c>
      <c r="K39" s="1">
        <v>8507</v>
      </c>
      <c r="L39" s="1">
        <v>8532</v>
      </c>
      <c r="M39" s="1">
        <v>8532</v>
      </c>
      <c r="N39" s="1">
        <v>8532</v>
      </c>
      <c r="O39" s="1">
        <v>0</v>
      </c>
      <c r="P39" s="1">
        <v>0</v>
      </c>
    </row>
    <row r="40" spans="1:16" x14ac:dyDescent="0.3">
      <c r="A40" s="1" t="s">
        <v>49</v>
      </c>
      <c r="B40" s="1" t="s">
        <v>50</v>
      </c>
      <c r="C40" s="1" t="s">
        <v>62</v>
      </c>
      <c r="D40" s="1">
        <v>6147</v>
      </c>
      <c r="E40" s="1">
        <v>2</v>
      </c>
      <c r="F40" s="1">
        <v>1</v>
      </c>
      <c r="G40" s="1">
        <v>5250</v>
      </c>
      <c r="H40" s="1">
        <v>1.1459248413860419</v>
      </c>
      <c r="I40" s="1">
        <v>0.35305957062440491</v>
      </c>
      <c r="J40" s="1">
        <v>1</v>
      </c>
      <c r="K40" s="1">
        <v>1</v>
      </c>
      <c r="L40" s="1">
        <v>1</v>
      </c>
      <c r="M40" s="1">
        <v>1</v>
      </c>
      <c r="N40" s="1">
        <v>2</v>
      </c>
      <c r="O40" s="1">
        <v>0</v>
      </c>
      <c r="P40" s="1">
        <v>0</v>
      </c>
    </row>
    <row r="41" spans="1:16" x14ac:dyDescent="0.3">
      <c r="A41" s="1" t="s">
        <v>49</v>
      </c>
      <c r="B41" s="1" t="s">
        <v>50</v>
      </c>
      <c r="C41" s="1" t="s">
        <v>63</v>
      </c>
      <c r="D41" s="1">
        <v>0</v>
      </c>
      <c r="E41" s="1">
        <v>0</v>
      </c>
      <c r="F41" s="1"/>
      <c r="G41" s="1">
        <v>0</v>
      </c>
      <c r="H41" s="1"/>
      <c r="I41" s="1"/>
      <c r="J41" s="1"/>
      <c r="K41" s="1"/>
      <c r="L41" s="1"/>
      <c r="M41" s="1"/>
      <c r="N41" s="1"/>
      <c r="O41" s="1">
        <v>6147</v>
      </c>
      <c r="P41" s="1">
        <v>1</v>
      </c>
    </row>
    <row r="42" spans="1:16" x14ac:dyDescent="0.3">
      <c r="A42" s="1" t="s">
        <v>49</v>
      </c>
      <c r="B42" s="1" t="s">
        <v>50</v>
      </c>
      <c r="C42" s="1" t="s">
        <v>64</v>
      </c>
      <c r="D42" s="1">
        <v>0</v>
      </c>
      <c r="E42" s="1">
        <v>0</v>
      </c>
      <c r="F42" s="1"/>
      <c r="G42" s="1">
        <v>0</v>
      </c>
      <c r="H42" s="1"/>
      <c r="I42" s="1"/>
      <c r="J42" s="1"/>
      <c r="K42" s="1"/>
      <c r="L42" s="1"/>
      <c r="M42" s="1"/>
      <c r="N42" s="1"/>
      <c r="O42" s="1">
        <v>6147</v>
      </c>
      <c r="P42" s="1">
        <v>1</v>
      </c>
    </row>
    <row r="43" spans="1:16" x14ac:dyDescent="0.3">
      <c r="A43" s="1" t="s">
        <v>49</v>
      </c>
      <c r="B43" s="1" t="s">
        <v>50</v>
      </c>
      <c r="C43" s="1" t="s">
        <v>65</v>
      </c>
      <c r="D43" s="1">
        <v>0</v>
      </c>
      <c r="E43" s="1">
        <v>0</v>
      </c>
      <c r="F43" s="1"/>
      <c r="G43" s="1">
        <v>0</v>
      </c>
      <c r="H43" s="1"/>
      <c r="I43" s="1"/>
      <c r="J43" s="1"/>
      <c r="K43" s="1"/>
      <c r="L43" s="1"/>
      <c r="M43" s="1"/>
      <c r="N43" s="1"/>
      <c r="O43" s="1">
        <v>6147</v>
      </c>
      <c r="P43" s="1">
        <v>1</v>
      </c>
    </row>
    <row r="44" spans="1:16" x14ac:dyDescent="0.3">
      <c r="A44" s="1" t="s">
        <v>49</v>
      </c>
      <c r="B44" s="1" t="s">
        <v>50</v>
      </c>
      <c r="C44" s="1" t="s">
        <v>66</v>
      </c>
      <c r="D44" s="1">
        <v>4484</v>
      </c>
      <c r="E44" s="1">
        <v>4</v>
      </c>
      <c r="F44" s="1" t="s">
        <v>67</v>
      </c>
      <c r="G44" s="1">
        <v>1637</v>
      </c>
      <c r="H44" s="1"/>
      <c r="I44" s="1"/>
      <c r="J44" s="1"/>
      <c r="K44" s="1"/>
      <c r="L44" s="1"/>
      <c r="M44" s="1"/>
      <c r="N44" s="1"/>
      <c r="O44" s="1">
        <v>1663</v>
      </c>
      <c r="P44" s="1">
        <v>0.27053847405238329</v>
      </c>
    </row>
    <row r="45" spans="1:16" x14ac:dyDescent="0.3">
      <c r="A45" s="1" t="s">
        <v>49</v>
      </c>
      <c r="B45" s="1" t="s">
        <v>50</v>
      </c>
      <c r="C45" s="1" t="s">
        <v>68</v>
      </c>
      <c r="D45" s="1">
        <v>4485</v>
      </c>
      <c r="E45" s="1">
        <v>3</v>
      </c>
      <c r="F45" s="1" t="s">
        <v>69</v>
      </c>
      <c r="G45" s="1">
        <v>4472</v>
      </c>
      <c r="H45" s="1"/>
      <c r="I45" s="1"/>
      <c r="J45" s="1"/>
      <c r="K45" s="1"/>
      <c r="L45" s="1"/>
      <c r="M45" s="1"/>
      <c r="N45" s="1"/>
      <c r="O45" s="1">
        <v>1662</v>
      </c>
      <c r="P45" s="1">
        <v>0.27037579306979009</v>
      </c>
    </row>
    <row r="46" spans="1:16" x14ac:dyDescent="0.3">
      <c r="A46" s="1" t="s">
        <v>70</v>
      </c>
      <c r="B46" s="1" t="s">
        <v>1</v>
      </c>
      <c r="C46" s="1" t="s">
        <v>71</v>
      </c>
      <c r="D46" s="1">
        <v>456446</v>
      </c>
      <c r="E46" s="1">
        <v>456446</v>
      </c>
      <c r="F46" s="1">
        <v>1</v>
      </c>
      <c r="G46" s="1">
        <v>1</v>
      </c>
      <c r="H46" s="1">
        <v>228223.5</v>
      </c>
      <c r="I46" s="1">
        <v>131764.75482275221</v>
      </c>
      <c r="J46" s="1">
        <v>1</v>
      </c>
      <c r="K46" s="1">
        <v>114112.25</v>
      </c>
      <c r="L46" s="1">
        <v>228223.5</v>
      </c>
      <c r="M46" s="1">
        <v>342334.75</v>
      </c>
      <c r="N46" s="1">
        <v>456446</v>
      </c>
      <c r="O46" s="1">
        <v>0</v>
      </c>
      <c r="P46" s="1">
        <v>0</v>
      </c>
    </row>
    <row r="47" spans="1:16" x14ac:dyDescent="0.3">
      <c r="A47" s="1" t="s">
        <v>70</v>
      </c>
      <c r="B47" s="1" t="s">
        <v>1</v>
      </c>
      <c r="C47" s="1" t="s">
        <v>51</v>
      </c>
      <c r="D47" s="1">
        <v>456446</v>
      </c>
      <c r="E47" s="1">
        <v>6146</v>
      </c>
      <c r="F47" s="1">
        <v>2839</v>
      </c>
      <c r="G47" s="1">
        <v>2035</v>
      </c>
      <c r="H47" s="1">
        <v>3187.8288757049031</v>
      </c>
      <c r="I47" s="1">
        <v>1763.7886047268339</v>
      </c>
      <c r="J47" s="1">
        <v>1</v>
      </c>
      <c r="K47" s="1">
        <v>1644</v>
      </c>
      <c r="L47" s="1">
        <v>3218</v>
      </c>
      <c r="M47" s="1">
        <v>4650</v>
      </c>
      <c r="N47" s="1">
        <v>6147</v>
      </c>
      <c r="O47" s="1">
        <v>0</v>
      </c>
      <c r="P47" s="1">
        <v>0</v>
      </c>
    </row>
    <row r="48" spans="1:16" x14ac:dyDescent="0.3">
      <c r="A48" s="1" t="s">
        <v>70</v>
      </c>
      <c r="B48" s="1" t="s">
        <v>1</v>
      </c>
      <c r="C48" s="1" t="s">
        <v>59</v>
      </c>
      <c r="D48" s="1">
        <v>456446</v>
      </c>
      <c r="E48" s="1">
        <v>5449</v>
      </c>
      <c r="F48" s="1" t="s">
        <v>72</v>
      </c>
      <c r="G48" s="1">
        <v>2035</v>
      </c>
      <c r="H48" s="1"/>
      <c r="I48" s="1"/>
      <c r="J48" s="1"/>
      <c r="K48" s="1"/>
      <c r="L48" s="1"/>
      <c r="M48" s="1"/>
      <c r="N48" s="1"/>
      <c r="O48" s="1">
        <v>0</v>
      </c>
      <c r="P48" s="1">
        <v>0</v>
      </c>
    </row>
    <row r="49" spans="1:16" x14ac:dyDescent="0.3">
      <c r="A49" s="1" t="s">
        <v>70</v>
      </c>
      <c r="B49" s="1" t="s">
        <v>1</v>
      </c>
      <c r="C49" s="1" t="s">
        <v>73</v>
      </c>
      <c r="D49" s="1">
        <v>456446</v>
      </c>
      <c r="E49" s="1">
        <v>3</v>
      </c>
      <c r="F49" s="1">
        <v>9202</v>
      </c>
      <c r="G49" s="1">
        <v>423316</v>
      </c>
      <c r="H49" s="1">
        <v>9201.9921173588991</v>
      </c>
      <c r="I49" s="1">
        <v>0.26929638101168157</v>
      </c>
      <c r="J49" s="1">
        <v>9201</v>
      </c>
      <c r="K49" s="1">
        <v>9202</v>
      </c>
      <c r="L49" s="1">
        <v>9202</v>
      </c>
      <c r="M49" s="1">
        <v>9202</v>
      </c>
      <c r="N49" s="1">
        <v>9203</v>
      </c>
      <c r="O49" s="1">
        <v>0</v>
      </c>
      <c r="P49" s="1">
        <v>0</v>
      </c>
    </row>
    <row r="50" spans="1:16" x14ac:dyDescent="0.3">
      <c r="A50" s="1" t="s">
        <v>70</v>
      </c>
      <c r="B50" s="1" t="s">
        <v>1</v>
      </c>
      <c r="C50" s="1" t="s">
        <v>74</v>
      </c>
      <c r="D50" s="1">
        <v>456446</v>
      </c>
      <c r="E50" s="1">
        <v>8804</v>
      </c>
      <c r="F50" s="7">
        <v>44634</v>
      </c>
      <c r="G50" s="1">
        <v>336</v>
      </c>
      <c r="H50" s="7">
        <v>42662.206247835653</v>
      </c>
      <c r="I50" s="1"/>
      <c r="J50" s="7">
        <v>35825</v>
      </c>
      <c r="K50" s="7">
        <v>41417</v>
      </c>
      <c r="L50" s="7">
        <v>43374</v>
      </c>
      <c r="M50" s="7">
        <v>44571</v>
      </c>
      <c r="N50" s="7">
        <v>45290</v>
      </c>
      <c r="O50" s="1">
        <v>0</v>
      </c>
      <c r="P50" s="1">
        <v>0</v>
      </c>
    </row>
    <row r="51" spans="1:16" x14ac:dyDescent="0.3">
      <c r="A51" s="1" t="s">
        <v>70</v>
      </c>
      <c r="B51" s="1" t="s">
        <v>1</v>
      </c>
      <c r="C51" s="1" t="s">
        <v>75</v>
      </c>
      <c r="D51" s="1">
        <v>456446</v>
      </c>
      <c r="E51" s="1">
        <v>147846</v>
      </c>
      <c r="F51" s="7">
        <v>44952.5</v>
      </c>
      <c r="G51" s="1">
        <v>78</v>
      </c>
      <c r="H51" s="7">
        <v>42662.653515266204</v>
      </c>
      <c r="I51" s="1"/>
      <c r="J51" s="7">
        <v>35825.5</v>
      </c>
      <c r="K51" s="7">
        <v>41417.416666666657</v>
      </c>
      <c r="L51" s="7">
        <v>43374.46875</v>
      </c>
      <c r="M51" s="7">
        <v>44571.614583333343</v>
      </c>
      <c r="N51" s="7">
        <v>45290.79791666667</v>
      </c>
      <c r="O51" s="1">
        <v>0</v>
      </c>
      <c r="P51" s="1">
        <v>0</v>
      </c>
    </row>
    <row r="52" spans="1:16" x14ac:dyDescent="0.3">
      <c r="A52" s="1" t="s">
        <v>70</v>
      </c>
      <c r="B52" s="1" t="s">
        <v>1</v>
      </c>
      <c r="C52" s="1" t="s">
        <v>76</v>
      </c>
      <c r="D52" s="1">
        <v>456446</v>
      </c>
      <c r="E52" s="1">
        <v>8854</v>
      </c>
      <c r="F52" s="7">
        <v>44809</v>
      </c>
      <c r="G52" s="1">
        <v>332</v>
      </c>
      <c r="H52" s="7">
        <v>42662.584465636573</v>
      </c>
      <c r="I52" s="1"/>
      <c r="J52" s="7">
        <v>35827</v>
      </c>
      <c r="K52" s="7">
        <v>41417</v>
      </c>
      <c r="L52" s="7">
        <v>43374</v>
      </c>
      <c r="M52" s="7">
        <v>44572</v>
      </c>
      <c r="N52" s="7">
        <v>45363</v>
      </c>
      <c r="O52" s="1">
        <v>0</v>
      </c>
      <c r="P52" s="1">
        <v>0</v>
      </c>
    </row>
    <row r="53" spans="1:16" x14ac:dyDescent="0.3">
      <c r="A53" s="1" t="s">
        <v>70</v>
      </c>
      <c r="B53" s="1" t="s">
        <v>1</v>
      </c>
      <c r="C53" s="1" t="s">
        <v>77</v>
      </c>
      <c r="D53" s="1">
        <v>456446</v>
      </c>
      <c r="E53" s="1">
        <v>152654</v>
      </c>
      <c r="F53" s="7">
        <v>44952.5</v>
      </c>
      <c r="G53" s="1">
        <v>78</v>
      </c>
      <c r="H53" s="7">
        <v>42663.025032430553</v>
      </c>
      <c r="I53" s="1"/>
      <c r="J53" s="7">
        <v>35827.791666666657</v>
      </c>
      <c r="K53" s="7">
        <v>41417.606770833343</v>
      </c>
      <c r="L53" s="7">
        <v>43374.5</v>
      </c>
      <c r="M53" s="7">
        <v>44572.375</v>
      </c>
      <c r="N53" s="7">
        <v>45363.5</v>
      </c>
      <c r="O53" s="1">
        <v>0</v>
      </c>
      <c r="P53" s="1">
        <v>0</v>
      </c>
    </row>
    <row r="54" spans="1:16" x14ac:dyDescent="0.3">
      <c r="A54" s="1" t="s">
        <v>70</v>
      </c>
      <c r="B54" s="1" t="s">
        <v>1</v>
      </c>
      <c r="C54" s="1" t="s">
        <v>78</v>
      </c>
      <c r="D54" s="1">
        <v>456446</v>
      </c>
      <c r="E54" s="1">
        <v>2</v>
      </c>
      <c r="F54" s="1">
        <v>44818518</v>
      </c>
      <c r="G54" s="1">
        <v>454230</v>
      </c>
      <c r="H54" s="1">
        <v>44818518.004854903</v>
      </c>
      <c r="I54" s="1">
        <v>6.9507850011561595E-2</v>
      </c>
      <c r="J54" s="1">
        <v>44818518</v>
      </c>
      <c r="K54" s="1">
        <v>44818518</v>
      </c>
      <c r="L54" s="1">
        <v>44818518</v>
      </c>
      <c r="M54" s="1">
        <v>44818518</v>
      </c>
      <c r="N54" s="1">
        <v>44818519</v>
      </c>
      <c r="O54" s="1">
        <v>0</v>
      </c>
      <c r="P54" s="1">
        <v>0</v>
      </c>
    </row>
    <row r="55" spans="1:16" x14ac:dyDescent="0.3">
      <c r="A55" s="1" t="s">
        <v>70</v>
      </c>
      <c r="B55" s="1" t="s">
        <v>1</v>
      </c>
      <c r="C55" s="1" t="s">
        <v>79</v>
      </c>
      <c r="D55" s="1">
        <v>456446</v>
      </c>
      <c r="E55" s="1">
        <v>2</v>
      </c>
      <c r="F55" s="1" t="s">
        <v>80</v>
      </c>
      <c r="G55" s="1">
        <v>454230</v>
      </c>
      <c r="H55" s="1"/>
      <c r="I55" s="1"/>
      <c r="J55" s="1"/>
      <c r="K55" s="1"/>
      <c r="L55" s="1"/>
      <c r="M55" s="1"/>
      <c r="N55" s="1"/>
      <c r="O55" s="1">
        <v>0</v>
      </c>
      <c r="P55" s="1">
        <v>0</v>
      </c>
    </row>
    <row r="56" spans="1:16" x14ac:dyDescent="0.3">
      <c r="A56" s="1" t="s">
        <v>70</v>
      </c>
      <c r="B56" s="1" t="s">
        <v>1</v>
      </c>
      <c r="C56" s="1" t="s">
        <v>29</v>
      </c>
      <c r="D56" s="1">
        <v>453835</v>
      </c>
      <c r="E56" s="1">
        <v>1286</v>
      </c>
      <c r="F56" s="1">
        <v>640</v>
      </c>
      <c r="G56" s="1">
        <v>19753</v>
      </c>
      <c r="H56" s="1">
        <v>3891.5990943845231</v>
      </c>
      <c r="I56" s="1">
        <v>2362.6597953293472</v>
      </c>
      <c r="J56" s="1">
        <v>57</v>
      </c>
      <c r="K56" s="1">
        <v>2932</v>
      </c>
      <c r="L56" s="1">
        <v>3665</v>
      </c>
      <c r="M56" s="1">
        <v>4951</v>
      </c>
      <c r="N56" s="1">
        <v>15162</v>
      </c>
      <c r="O56" s="1">
        <v>2611</v>
      </c>
      <c r="P56" s="1">
        <v>5.7202823554155374E-3</v>
      </c>
    </row>
    <row r="57" spans="1:16" x14ac:dyDescent="0.3">
      <c r="A57" s="1" t="s">
        <v>70</v>
      </c>
      <c r="B57" s="1" t="s">
        <v>1</v>
      </c>
      <c r="C57" s="1" t="s">
        <v>19</v>
      </c>
      <c r="D57" s="1">
        <v>456446</v>
      </c>
      <c r="E57" s="1">
        <v>56</v>
      </c>
      <c r="F57" s="1">
        <v>67</v>
      </c>
      <c r="G57" s="1">
        <v>40077</v>
      </c>
      <c r="H57" s="1">
        <v>383.45100844349611</v>
      </c>
      <c r="I57" s="1">
        <v>169.1415880194873</v>
      </c>
      <c r="J57" s="1">
        <v>67</v>
      </c>
      <c r="K57" s="1">
        <v>227</v>
      </c>
      <c r="L57" s="1">
        <v>475</v>
      </c>
      <c r="M57" s="1">
        <v>537</v>
      </c>
      <c r="N57" s="1">
        <v>899</v>
      </c>
      <c r="O57" s="1">
        <v>0</v>
      </c>
      <c r="P57" s="1">
        <v>0</v>
      </c>
    </row>
    <row r="58" spans="1:16" x14ac:dyDescent="0.3">
      <c r="A58" s="1" t="s">
        <v>70</v>
      </c>
      <c r="B58" s="1" t="s">
        <v>1</v>
      </c>
      <c r="C58" s="1" t="s">
        <v>81</v>
      </c>
      <c r="D58" s="1">
        <v>456446</v>
      </c>
      <c r="E58" s="1">
        <v>3</v>
      </c>
      <c r="F58" s="1" t="s">
        <v>82</v>
      </c>
      <c r="G58" s="1">
        <v>423316</v>
      </c>
      <c r="H58" s="1"/>
      <c r="I58" s="1"/>
      <c r="J58" s="1"/>
      <c r="K58" s="1"/>
      <c r="L58" s="1"/>
      <c r="M58" s="1"/>
      <c r="N58" s="1"/>
      <c r="O58" s="1">
        <v>0</v>
      </c>
      <c r="P58" s="1">
        <v>0</v>
      </c>
    </row>
    <row r="59" spans="1:16" x14ac:dyDescent="0.3">
      <c r="A59" s="1" t="s">
        <v>70</v>
      </c>
      <c r="B59" s="1" t="s">
        <v>1</v>
      </c>
      <c r="C59" s="1" t="s">
        <v>83</v>
      </c>
      <c r="D59" s="1">
        <v>456446</v>
      </c>
      <c r="E59" s="1">
        <v>3</v>
      </c>
      <c r="F59" s="1">
        <v>9202</v>
      </c>
      <c r="G59" s="1">
        <v>423316</v>
      </c>
      <c r="H59" s="1">
        <v>9201.9921173588991</v>
      </c>
      <c r="I59" s="1">
        <v>0.26929638101168157</v>
      </c>
      <c r="J59" s="1">
        <v>9201</v>
      </c>
      <c r="K59" s="1">
        <v>9202</v>
      </c>
      <c r="L59" s="1">
        <v>9202</v>
      </c>
      <c r="M59" s="1">
        <v>9202</v>
      </c>
      <c r="N59" s="1">
        <v>9203</v>
      </c>
      <c r="O59" s="1">
        <v>0</v>
      </c>
      <c r="P59" s="1">
        <v>0</v>
      </c>
    </row>
    <row r="60" spans="1:16" x14ac:dyDescent="0.3">
      <c r="A60" s="1" t="s">
        <v>70</v>
      </c>
      <c r="B60" s="1" t="s">
        <v>1</v>
      </c>
      <c r="C60" s="1" t="s">
        <v>84</v>
      </c>
      <c r="D60" s="1">
        <v>456446</v>
      </c>
      <c r="E60" s="1">
        <v>5</v>
      </c>
      <c r="F60" s="1">
        <v>0</v>
      </c>
      <c r="G60" s="1">
        <v>426242</v>
      </c>
      <c r="H60" s="1">
        <v>584.97724593927865</v>
      </c>
      <c r="I60" s="1">
        <v>2197.5663825288639</v>
      </c>
      <c r="J60" s="1">
        <v>0</v>
      </c>
      <c r="K60" s="1">
        <v>0</v>
      </c>
      <c r="L60" s="1">
        <v>0</v>
      </c>
      <c r="M60" s="1">
        <v>0</v>
      </c>
      <c r="N60" s="1">
        <v>8892</v>
      </c>
      <c r="O60" s="1">
        <v>0</v>
      </c>
      <c r="P60" s="1">
        <v>0</v>
      </c>
    </row>
    <row r="61" spans="1:16" x14ac:dyDescent="0.3">
      <c r="A61" s="1" t="s">
        <v>70</v>
      </c>
      <c r="B61" s="1" t="s">
        <v>1</v>
      </c>
      <c r="C61" s="1" t="s">
        <v>85</v>
      </c>
      <c r="D61" s="1">
        <v>30311</v>
      </c>
      <c r="E61" s="1">
        <v>7</v>
      </c>
      <c r="F61" s="1">
        <v>7</v>
      </c>
      <c r="G61" s="1">
        <v>21633</v>
      </c>
      <c r="H61" s="1">
        <v>5.302299495232754</v>
      </c>
      <c r="I61" s="1">
        <v>2.6959103020109958</v>
      </c>
      <c r="J61" s="1">
        <v>1</v>
      </c>
      <c r="K61" s="1">
        <v>1</v>
      </c>
      <c r="L61" s="1">
        <v>7</v>
      </c>
      <c r="M61" s="1">
        <v>7</v>
      </c>
      <c r="N61" s="1">
        <v>9</v>
      </c>
      <c r="O61" s="1">
        <v>426135</v>
      </c>
      <c r="P61" s="1">
        <v>0.93359345902910751</v>
      </c>
    </row>
    <row r="62" spans="1:16" x14ac:dyDescent="0.3">
      <c r="A62" s="1" t="s">
        <v>70</v>
      </c>
      <c r="B62" s="1" t="s">
        <v>1</v>
      </c>
      <c r="C62" s="1" t="s">
        <v>86</v>
      </c>
      <c r="D62" s="1">
        <v>18199</v>
      </c>
      <c r="E62" s="1">
        <v>7</v>
      </c>
      <c r="F62" s="1">
        <v>3</v>
      </c>
      <c r="G62" s="1">
        <v>10923</v>
      </c>
      <c r="H62" s="1">
        <v>5.1487993845815696</v>
      </c>
      <c r="I62" s="1">
        <v>2.9224795004819208</v>
      </c>
      <c r="J62" s="1">
        <v>1</v>
      </c>
      <c r="K62" s="1">
        <v>3</v>
      </c>
      <c r="L62" s="1">
        <v>3</v>
      </c>
      <c r="M62" s="1">
        <v>9</v>
      </c>
      <c r="N62" s="1">
        <v>9</v>
      </c>
      <c r="O62" s="1">
        <v>438247</v>
      </c>
      <c r="P62" s="1">
        <v>0.9601289090056655</v>
      </c>
    </row>
    <row r="63" spans="1:16" x14ac:dyDescent="0.3">
      <c r="A63" s="1" t="s">
        <v>70</v>
      </c>
      <c r="B63" s="1" t="s">
        <v>1</v>
      </c>
      <c r="C63" s="1" t="s">
        <v>87</v>
      </c>
      <c r="D63" s="1">
        <v>456446</v>
      </c>
      <c r="E63" s="1">
        <v>6</v>
      </c>
      <c r="F63" s="1">
        <v>0</v>
      </c>
      <c r="G63" s="1">
        <v>438387</v>
      </c>
      <c r="H63" s="1">
        <v>24409.001165526701</v>
      </c>
      <c r="I63" s="1">
        <v>971856.4788421347</v>
      </c>
      <c r="J63" s="1">
        <v>0</v>
      </c>
      <c r="K63" s="1">
        <v>0</v>
      </c>
      <c r="L63" s="1">
        <v>0</v>
      </c>
      <c r="M63" s="1">
        <v>0</v>
      </c>
      <c r="N63" s="1">
        <v>44814693</v>
      </c>
      <c r="O63" s="1">
        <v>0</v>
      </c>
      <c r="P63" s="1">
        <v>0</v>
      </c>
    </row>
    <row r="64" spans="1:16" x14ac:dyDescent="0.3">
      <c r="A64" s="1" t="s">
        <v>70</v>
      </c>
      <c r="B64" s="1" t="s">
        <v>1</v>
      </c>
      <c r="C64" s="1" t="s">
        <v>88</v>
      </c>
      <c r="D64" s="1">
        <v>450300</v>
      </c>
      <c r="E64" s="1">
        <v>450300</v>
      </c>
      <c r="F64" s="1">
        <v>1</v>
      </c>
      <c r="G64" s="1">
        <v>1</v>
      </c>
      <c r="H64" s="1">
        <v>228008.20840772821</v>
      </c>
      <c r="I64" s="1">
        <v>131593.85260224159</v>
      </c>
      <c r="J64" s="1">
        <v>1</v>
      </c>
      <c r="K64" s="1">
        <v>114100.75</v>
      </c>
      <c r="L64" s="1">
        <v>228022.5</v>
      </c>
      <c r="M64" s="1">
        <v>341923.25</v>
      </c>
      <c r="N64" s="1">
        <v>456446</v>
      </c>
      <c r="O64" s="1">
        <v>6146</v>
      </c>
      <c r="P64" s="1">
        <v>1.346490055778778E-2</v>
      </c>
    </row>
    <row r="65" spans="1:16" x14ac:dyDescent="0.3">
      <c r="A65" s="1" t="s">
        <v>70</v>
      </c>
      <c r="B65" s="1" t="s">
        <v>1</v>
      </c>
      <c r="C65" s="1" t="s">
        <v>89</v>
      </c>
      <c r="D65" s="1">
        <v>456446</v>
      </c>
      <c r="E65" s="1">
        <v>451351</v>
      </c>
      <c r="F65" s="1" t="s">
        <v>90</v>
      </c>
      <c r="G65" s="1">
        <v>4</v>
      </c>
      <c r="H65" s="1"/>
      <c r="I65" s="1"/>
      <c r="J65" s="1"/>
      <c r="K65" s="1"/>
      <c r="L65" s="1"/>
      <c r="M65" s="1"/>
      <c r="N65" s="1"/>
      <c r="O65" s="1">
        <v>0</v>
      </c>
      <c r="P65" s="1">
        <v>0</v>
      </c>
    </row>
    <row r="66" spans="1:16" x14ac:dyDescent="0.3">
      <c r="A66" s="1" t="s">
        <v>70</v>
      </c>
      <c r="B66" s="1" t="s">
        <v>1</v>
      </c>
      <c r="C66" s="1" t="s">
        <v>91</v>
      </c>
      <c r="D66" s="1">
        <v>456446</v>
      </c>
      <c r="E66" s="1">
        <v>56</v>
      </c>
      <c r="F66" s="1" t="s">
        <v>92</v>
      </c>
      <c r="G66" s="1">
        <v>40077</v>
      </c>
      <c r="H66" s="1"/>
      <c r="I66" s="1"/>
      <c r="J66" s="1"/>
      <c r="K66" s="1"/>
      <c r="L66" s="1"/>
      <c r="M66" s="1"/>
      <c r="N66" s="1"/>
      <c r="O66" s="1">
        <v>0</v>
      </c>
      <c r="P66" s="1">
        <v>0</v>
      </c>
    </row>
    <row r="67" spans="1:16" x14ac:dyDescent="0.3">
      <c r="A67" s="1" t="s">
        <v>70</v>
      </c>
      <c r="B67" s="1" t="s">
        <v>1</v>
      </c>
      <c r="C67" s="1" t="s">
        <v>93</v>
      </c>
      <c r="D67" s="1">
        <v>456446</v>
      </c>
      <c r="E67" s="1">
        <v>56</v>
      </c>
      <c r="F67" s="1" t="s">
        <v>94</v>
      </c>
      <c r="G67" s="1">
        <v>40077</v>
      </c>
      <c r="H67" s="1"/>
      <c r="I67" s="1"/>
      <c r="J67" s="1"/>
      <c r="K67" s="1"/>
      <c r="L67" s="1"/>
      <c r="M67" s="1"/>
      <c r="N67" s="1"/>
      <c r="O67" s="1">
        <v>0</v>
      </c>
      <c r="P67" s="1">
        <v>0</v>
      </c>
    </row>
    <row r="68" spans="1:16" x14ac:dyDescent="0.3">
      <c r="A68" s="1" t="s">
        <v>95</v>
      </c>
      <c r="B68" s="1" t="s">
        <v>2</v>
      </c>
      <c r="C68" s="1" t="s">
        <v>96</v>
      </c>
      <c r="D68" s="1">
        <v>1720</v>
      </c>
      <c r="E68" s="1">
        <v>1720</v>
      </c>
      <c r="F68" s="1">
        <v>1</v>
      </c>
      <c r="G68" s="1">
        <v>1</v>
      </c>
      <c r="H68" s="1">
        <v>860.5</v>
      </c>
      <c r="I68" s="1">
        <v>496.66554809717439</v>
      </c>
      <c r="J68" s="1">
        <v>1</v>
      </c>
      <c r="K68" s="1">
        <v>430.75</v>
      </c>
      <c r="L68" s="1">
        <v>860.5</v>
      </c>
      <c r="M68" s="1">
        <v>1290.25</v>
      </c>
      <c r="N68" s="1">
        <v>1720</v>
      </c>
      <c r="O68" s="1">
        <v>0</v>
      </c>
      <c r="P68" s="1">
        <v>0</v>
      </c>
    </row>
    <row r="69" spans="1:16" x14ac:dyDescent="0.3">
      <c r="A69" s="1" t="s">
        <v>95</v>
      </c>
      <c r="B69" s="1" t="s">
        <v>2</v>
      </c>
      <c r="C69" s="1" t="s">
        <v>51</v>
      </c>
      <c r="D69" s="1">
        <v>1720</v>
      </c>
      <c r="E69" s="1">
        <v>1155</v>
      </c>
      <c r="F69" s="1">
        <v>5969</v>
      </c>
      <c r="G69" s="1">
        <v>18</v>
      </c>
      <c r="H69" s="1">
        <v>3262.848837209302</v>
      </c>
      <c r="I69" s="1">
        <v>1789.8500836954261</v>
      </c>
      <c r="J69" s="1">
        <v>12</v>
      </c>
      <c r="K69" s="1">
        <v>1701.75</v>
      </c>
      <c r="L69" s="1">
        <v>3426.5</v>
      </c>
      <c r="M69" s="1">
        <v>4750</v>
      </c>
      <c r="N69" s="1">
        <v>6142</v>
      </c>
      <c r="O69" s="1">
        <v>0</v>
      </c>
      <c r="P69" s="1">
        <v>0</v>
      </c>
    </row>
    <row r="70" spans="1:16" x14ac:dyDescent="0.3">
      <c r="A70" s="1" t="s">
        <v>95</v>
      </c>
      <c r="B70" s="1" t="s">
        <v>2</v>
      </c>
      <c r="C70" s="1" t="s">
        <v>59</v>
      </c>
      <c r="D70" s="1">
        <v>1720</v>
      </c>
      <c r="E70" s="1">
        <v>1122</v>
      </c>
      <c r="F70" s="1" t="s">
        <v>97</v>
      </c>
      <c r="G70" s="1">
        <v>18</v>
      </c>
      <c r="H70" s="1"/>
      <c r="I70" s="1"/>
      <c r="J70" s="1"/>
      <c r="K70" s="1"/>
      <c r="L70" s="1"/>
      <c r="M70" s="1"/>
      <c r="N70" s="1"/>
      <c r="O70" s="1">
        <v>0</v>
      </c>
      <c r="P70" s="1">
        <v>0</v>
      </c>
    </row>
    <row r="71" spans="1:16" x14ac:dyDescent="0.3">
      <c r="A71" s="1" t="s">
        <v>95</v>
      </c>
      <c r="B71" s="1" t="s">
        <v>2</v>
      </c>
      <c r="C71" s="1" t="s">
        <v>98</v>
      </c>
      <c r="D71" s="1">
        <v>1720</v>
      </c>
      <c r="E71" s="1">
        <v>1</v>
      </c>
      <c r="F71" s="1">
        <v>32037</v>
      </c>
      <c r="G71" s="1">
        <v>1720</v>
      </c>
      <c r="H71" s="1">
        <v>32037</v>
      </c>
      <c r="I71" s="1">
        <v>0</v>
      </c>
      <c r="J71" s="1">
        <v>32037</v>
      </c>
      <c r="K71" s="1">
        <v>32037</v>
      </c>
      <c r="L71" s="1">
        <v>32037</v>
      </c>
      <c r="M71" s="1">
        <v>32037</v>
      </c>
      <c r="N71" s="1">
        <v>32037</v>
      </c>
      <c r="O71" s="1">
        <v>0</v>
      </c>
      <c r="P71" s="1">
        <v>0</v>
      </c>
    </row>
    <row r="72" spans="1:16" x14ac:dyDescent="0.3">
      <c r="A72" s="1" t="s">
        <v>95</v>
      </c>
      <c r="B72" s="1" t="s">
        <v>2</v>
      </c>
      <c r="C72" s="1" t="s">
        <v>99</v>
      </c>
      <c r="D72" s="1">
        <v>1720</v>
      </c>
      <c r="E72" s="1">
        <v>1113</v>
      </c>
      <c r="F72" s="7">
        <v>44872</v>
      </c>
      <c r="G72" s="1">
        <v>8</v>
      </c>
      <c r="H72" s="7">
        <v>44319.193023252323</v>
      </c>
      <c r="I72" s="1"/>
      <c r="J72" s="7">
        <v>41538</v>
      </c>
      <c r="K72" s="7">
        <v>43811.75</v>
      </c>
      <c r="L72" s="7">
        <v>44732</v>
      </c>
      <c r="M72" s="7">
        <v>45009.5</v>
      </c>
      <c r="N72" s="7">
        <v>45288</v>
      </c>
      <c r="O72" s="1">
        <v>0</v>
      </c>
      <c r="P72" s="1">
        <v>0</v>
      </c>
    </row>
    <row r="73" spans="1:16" x14ac:dyDescent="0.3">
      <c r="A73" s="1" t="s">
        <v>95</v>
      </c>
      <c r="B73" s="1" t="s">
        <v>2</v>
      </c>
      <c r="C73" s="1" t="s">
        <v>100</v>
      </c>
      <c r="D73" s="1">
        <v>1720</v>
      </c>
      <c r="E73" s="1">
        <v>1707</v>
      </c>
      <c r="F73" s="7">
        <v>43908.836863425917</v>
      </c>
      <c r="G73" s="1">
        <v>2</v>
      </c>
      <c r="H73" s="7">
        <v>44319.796062361107</v>
      </c>
      <c r="I73" s="1"/>
      <c r="J73" s="7">
        <v>41538.710509259261</v>
      </c>
      <c r="K73" s="7">
        <v>43812.458854166667</v>
      </c>
      <c r="L73" s="7">
        <v>44732.710474537038</v>
      </c>
      <c r="M73" s="7">
        <v>45010.218967013891</v>
      </c>
      <c r="N73" s="7">
        <v>45288.628472222219</v>
      </c>
      <c r="O73" s="1">
        <v>0</v>
      </c>
      <c r="P73" s="1">
        <v>0</v>
      </c>
    </row>
    <row r="74" spans="1:16" x14ac:dyDescent="0.3">
      <c r="A74" s="1" t="s">
        <v>95</v>
      </c>
      <c r="B74" s="1" t="s">
        <v>2</v>
      </c>
      <c r="C74" s="1" t="s">
        <v>101</v>
      </c>
      <c r="D74" s="1">
        <v>1582</v>
      </c>
      <c r="E74" s="1">
        <v>1049</v>
      </c>
      <c r="F74" s="7">
        <v>45257</v>
      </c>
      <c r="G74" s="1">
        <v>9</v>
      </c>
      <c r="H74" s="7">
        <v>44335.527180787038</v>
      </c>
      <c r="I74" s="1"/>
      <c r="J74" s="7">
        <v>41541</v>
      </c>
      <c r="K74" s="7">
        <v>43827.25</v>
      </c>
      <c r="L74" s="7">
        <v>44735</v>
      </c>
      <c r="M74" s="7">
        <v>45005.75</v>
      </c>
      <c r="N74" s="7">
        <v>45303</v>
      </c>
      <c r="O74" s="1">
        <v>138</v>
      </c>
      <c r="P74" s="1">
        <v>8.0232558139534879E-2</v>
      </c>
    </row>
    <row r="75" spans="1:16" x14ac:dyDescent="0.3">
      <c r="A75" s="1" t="s">
        <v>95</v>
      </c>
      <c r="B75" s="1" t="s">
        <v>2</v>
      </c>
      <c r="C75" s="1" t="s">
        <v>102</v>
      </c>
      <c r="D75" s="1">
        <v>1582</v>
      </c>
      <c r="E75" s="1">
        <v>1564</v>
      </c>
      <c r="F75" s="7">
        <v>44135.434027777781</v>
      </c>
      <c r="G75" s="1">
        <v>3</v>
      </c>
      <c r="H75" s="7">
        <v>44336.07279244213</v>
      </c>
      <c r="I75" s="1"/>
      <c r="J75" s="7">
        <v>41541.569444444453</v>
      </c>
      <c r="K75" s="7">
        <v>43827.973263888889</v>
      </c>
      <c r="L75" s="7">
        <v>44735.434027777781</v>
      </c>
      <c r="M75" s="7">
        <v>45006.25</v>
      </c>
      <c r="N75" s="7">
        <v>45303.4375</v>
      </c>
      <c r="O75" s="1">
        <v>138</v>
      </c>
      <c r="P75" s="1">
        <v>8.0232558139534879E-2</v>
      </c>
    </row>
    <row r="76" spans="1:16" x14ac:dyDescent="0.3">
      <c r="A76" s="1" t="s">
        <v>95</v>
      </c>
      <c r="B76" s="1" t="s">
        <v>2</v>
      </c>
      <c r="C76" s="1" t="s">
        <v>103</v>
      </c>
      <c r="D76" s="1">
        <v>1720</v>
      </c>
      <c r="E76" s="1">
        <v>1</v>
      </c>
      <c r="F76" s="1">
        <v>44818518</v>
      </c>
      <c r="G76" s="1">
        <v>1720</v>
      </c>
      <c r="H76" s="1">
        <v>44818518</v>
      </c>
      <c r="I76" s="1">
        <v>0</v>
      </c>
      <c r="J76" s="1">
        <v>44818518</v>
      </c>
      <c r="K76" s="1">
        <v>44818518</v>
      </c>
      <c r="L76" s="1">
        <v>44818518</v>
      </c>
      <c r="M76" s="1">
        <v>44818518</v>
      </c>
      <c r="N76" s="1">
        <v>44818518</v>
      </c>
      <c r="O76" s="1">
        <v>0</v>
      </c>
      <c r="P76" s="1">
        <v>0</v>
      </c>
    </row>
    <row r="77" spans="1:16" x14ac:dyDescent="0.3">
      <c r="A77" s="1" t="s">
        <v>95</v>
      </c>
      <c r="B77" s="1" t="s">
        <v>2</v>
      </c>
      <c r="C77" s="1" t="s">
        <v>104</v>
      </c>
      <c r="D77" s="1">
        <v>1720</v>
      </c>
      <c r="E77" s="1">
        <v>1</v>
      </c>
      <c r="F77" s="1" t="s">
        <v>80</v>
      </c>
      <c r="G77" s="1">
        <v>1720</v>
      </c>
      <c r="H77" s="1"/>
      <c r="I77" s="1"/>
      <c r="J77" s="1"/>
      <c r="K77" s="1"/>
      <c r="L77" s="1"/>
      <c r="M77" s="1"/>
      <c r="N77" s="1"/>
      <c r="O77" s="1">
        <v>0</v>
      </c>
      <c r="P77" s="1">
        <v>0</v>
      </c>
    </row>
    <row r="78" spans="1:16" x14ac:dyDescent="0.3">
      <c r="A78" s="1" t="s">
        <v>95</v>
      </c>
      <c r="B78" s="1" t="s">
        <v>2</v>
      </c>
      <c r="C78" s="1" t="s">
        <v>29</v>
      </c>
      <c r="D78" s="1">
        <v>1720</v>
      </c>
      <c r="E78" s="1">
        <v>123</v>
      </c>
      <c r="F78" s="1">
        <v>14541</v>
      </c>
      <c r="G78" s="1">
        <v>491</v>
      </c>
      <c r="H78" s="1">
        <v>7434.9023255813954</v>
      </c>
      <c r="I78" s="1">
        <v>4901.8007560963724</v>
      </c>
      <c r="J78" s="1">
        <v>153</v>
      </c>
      <c r="K78" s="1">
        <v>4241.5</v>
      </c>
      <c r="L78" s="1">
        <v>5144</v>
      </c>
      <c r="M78" s="1">
        <v>14541</v>
      </c>
      <c r="N78" s="1">
        <v>14541</v>
      </c>
      <c r="O78" s="1">
        <v>0</v>
      </c>
      <c r="P78" s="1">
        <v>0</v>
      </c>
    </row>
    <row r="79" spans="1:16" x14ac:dyDescent="0.3">
      <c r="A79" s="1" t="s">
        <v>95</v>
      </c>
      <c r="B79" s="1" t="s">
        <v>2</v>
      </c>
      <c r="C79" s="1" t="s">
        <v>19</v>
      </c>
      <c r="D79" s="1">
        <v>1720</v>
      </c>
      <c r="E79" s="1">
        <v>23</v>
      </c>
      <c r="F79" s="1">
        <v>426</v>
      </c>
      <c r="G79" s="1">
        <v>455</v>
      </c>
      <c r="H79" s="1">
        <v>398.61162790697682</v>
      </c>
      <c r="I79" s="1">
        <v>164.5466042564654</v>
      </c>
      <c r="J79" s="1">
        <v>67</v>
      </c>
      <c r="K79" s="1">
        <v>238</v>
      </c>
      <c r="L79" s="1">
        <v>426</v>
      </c>
      <c r="M79" s="1">
        <v>532</v>
      </c>
      <c r="N79" s="1">
        <v>560</v>
      </c>
      <c r="O79" s="1">
        <v>0</v>
      </c>
      <c r="P79" s="1">
        <v>0</v>
      </c>
    </row>
    <row r="80" spans="1:16" x14ac:dyDescent="0.3">
      <c r="A80" s="1" t="s">
        <v>95</v>
      </c>
      <c r="B80" s="1" t="s">
        <v>2</v>
      </c>
      <c r="C80" s="1" t="s">
        <v>105</v>
      </c>
      <c r="D80" s="1">
        <v>1720</v>
      </c>
      <c r="E80" s="1">
        <v>1</v>
      </c>
      <c r="F80" s="1" t="s">
        <v>106</v>
      </c>
      <c r="G80" s="1">
        <v>1720</v>
      </c>
      <c r="H80" s="1"/>
      <c r="I80" s="1"/>
      <c r="J80" s="1"/>
      <c r="K80" s="1"/>
      <c r="L80" s="1"/>
      <c r="M80" s="1"/>
      <c r="N80" s="1"/>
      <c r="O80" s="1">
        <v>0</v>
      </c>
      <c r="P80" s="1">
        <v>0</v>
      </c>
    </row>
    <row r="81" spans="1:16" x14ac:dyDescent="0.3">
      <c r="A81" s="1" t="s">
        <v>95</v>
      </c>
      <c r="B81" s="1" t="s">
        <v>2</v>
      </c>
      <c r="C81" s="1" t="s">
        <v>107</v>
      </c>
      <c r="D81" s="1">
        <v>1720</v>
      </c>
      <c r="E81" s="1">
        <v>1</v>
      </c>
      <c r="F81" s="1">
        <v>0</v>
      </c>
      <c r="G81" s="1">
        <v>1720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x14ac:dyDescent="0.3">
      <c r="A82" s="1" t="s">
        <v>95</v>
      </c>
      <c r="B82" s="1" t="s">
        <v>2</v>
      </c>
      <c r="C82" s="1" t="s">
        <v>84</v>
      </c>
      <c r="D82" s="1">
        <v>1720</v>
      </c>
      <c r="E82" s="1">
        <v>1</v>
      </c>
      <c r="F82" s="1">
        <v>0</v>
      </c>
      <c r="G82" s="1">
        <v>1720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x14ac:dyDescent="0.3">
      <c r="A83" s="1" t="s">
        <v>95</v>
      </c>
      <c r="B83" s="1" t="s">
        <v>2</v>
      </c>
      <c r="C83" s="1" t="s">
        <v>85</v>
      </c>
      <c r="D83" s="1">
        <v>1720</v>
      </c>
      <c r="E83" s="1">
        <v>7</v>
      </c>
      <c r="F83" s="1">
        <v>1</v>
      </c>
      <c r="G83" s="1">
        <v>1002</v>
      </c>
      <c r="H83" s="1">
        <v>2.3436046511627908</v>
      </c>
      <c r="I83" s="1">
        <v>1.704787368439171</v>
      </c>
      <c r="J83" s="1">
        <v>1</v>
      </c>
      <c r="K83" s="1">
        <v>1</v>
      </c>
      <c r="L83" s="1">
        <v>1</v>
      </c>
      <c r="M83" s="1">
        <v>4</v>
      </c>
      <c r="N83" s="1">
        <v>7</v>
      </c>
      <c r="O83" s="1">
        <v>0</v>
      </c>
      <c r="P83" s="1">
        <v>0</v>
      </c>
    </row>
    <row r="84" spans="1:16" x14ac:dyDescent="0.3">
      <c r="A84" s="1" t="s">
        <v>95</v>
      </c>
      <c r="B84" s="1" t="s">
        <v>2</v>
      </c>
      <c r="C84" s="1" t="s">
        <v>86</v>
      </c>
      <c r="D84" s="1">
        <v>1578</v>
      </c>
      <c r="E84" s="1">
        <v>6</v>
      </c>
      <c r="F84" s="1">
        <v>1</v>
      </c>
      <c r="G84" s="1">
        <v>838</v>
      </c>
      <c r="H84" s="1">
        <v>2.0259822560202791</v>
      </c>
      <c r="I84" s="1">
        <v>1.221747225288613</v>
      </c>
      <c r="J84" s="1">
        <v>1</v>
      </c>
      <c r="K84" s="1">
        <v>1</v>
      </c>
      <c r="L84" s="1">
        <v>1</v>
      </c>
      <c r="M84" s="1">
        <v>3</v>
      </c>
      <c r="N84" s="1">
        <v>6</v>
      </c>
      <c r="O84" s="1">
        <v>142</v>
      </c>
      <c r="P84" s="1">
        <v>8.2558139534883723E-2</v>
      </c>
    </row>
    <row r="85" spans="1:16" x14ac:dyDescent="0.3">
      <c r="A85" s="1" t="s">
        <v>95</v>
      </c>
      <c r="B85" s="1" t="s">
        <v>2</v>
      </c>
      <c r="C85" s="1" t="s">
        <v>87</v>
      </c>
      <c r="D85" s="1">
        <v>1720</v>
      </c>
      <c r="E85" s="1">
        <v>1</v>
      </c>
      <c r="F85" s="1">
        <v>0</v>
      </c>
      <c r="G85" s="1">
        <v>1720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 x14ac:dyDescent="0.3">
      <c r="A86" s="1" t="s">
        <v>95</v>
      </c>
      <c r="B86" s="1" t="s">
        <v>2</v>
      </c>
      <c r="C86" s="1" t="s">
        <v>108</v>
      </c>
      <c r="D86" s="1">
        <v>565</v>
      </c>
      <c r="E86" s="1">
        <v>565</v>
      </c>
      <c r="F86" s="1">
        <v>5</v>
      </c>
      <c r="G86" s="1">
        <v>1</v>
      </c>
      <c r="H86" s="1">
        <v>697.91858407079644</v>
      </c>
      <c r="I86" s="1">
        <v>508.39210145387449</v>
      </c>
      <c r="J86" s="1">
        <v>5</v>
      </c>
      <c r="K86" s="1">
        <v>252</v>
      </c>
      <c r="L86" s="1">
        <v>585</v>
      </c>
      <c r="M86" s="1">
        <v>1095</v>
      </c>
      <c r="N86" s="1">
        <v>1719</v>
      </c>
      <c r="O86" s="1">
        <v>1155</v>
      </c>
      <c r="P86" s="1">
        <v>0.67151162790697672</v>
      </c>
    </row>
    <row r="87" spans="1:16" x14ac:dyDescent="0.3">
      <c r="A87" s="1" t="s">
        <v>95</v>
      </c>
      <c r="B87" s="1" t="s">
        <v>2</v>
      </c>
      <c r="C87" s="1" t="s">
        <v>109</v>
      </c>
      <c r="D87" s="1">
        <v>1720</v>
      </c>
      <c r="E87" s="1">
        <v>1</v>
      </c>
      <c r="F87" s="1">
        <v>0</v>
      </c>
      <c r="G87" s="1">
        <v>1720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 x14ac:dyDescent="0.3">
      <c r="A88" s="1" t="s">
        <v>95</v>
      </c>
      <c r="B88" s="1" t="s">
        <v>2</v>
      </c>
      <c r="C88" s="1" t="s">
        <v>71</v>
      </c>
      <c r="D88" s="1">
        <v>1720</v>
      </c>
      <c r="E88" s="1">
        <v>1527</v>
      </c>
      <c r="F88" s="1">
        <v>432518</v>
      </c>
      <c r="G88" s="1">
        <v>5</v>
      </c>
      <c r="H88" s="1">
        <v>440521.47732558142</v>
      </c>
      <c r="I88" s="1">
        <v>9620.2520768216582</v>
      </c>
      <c r="J88" s="1">
        <v>423360</v>
      </c>
      <c r="K88" s="1">
        <v>432516.75</v>
      </c>
      <c r="L88" s="1">
        <v>440938</v>
      </c>
      <c r="M88" s="1">
        <v>448886.25</v>
      </c>
      <c r="N88" s="1">
        <v>456438</v>
      </c>
      <c r="O88" s="1">
        <v>0</v>
      </c>
      <c r="P88" s="1">
        <v>0</v>
      </c>
    </row>
    <row r="89" spans="1:16" x14ac:dyDescent="0.3">
      <c r="A89" s="1" t="s">
        <v>95</v>
      </c>
      <c r="B89" s="1" t="s">
        <v>2</v>
      </c>
      <c r="C89" s="1" t="s">
        <v>91</v>
      </c>
      <c r="D89" s="1">
        <v>1720</v>
      </c>
      <c r="E89" s="1">
        <v>23</v>
      </c>
      <c r="F89" s="1" t="s">
        <v>110</v>
      </c>
      <c r="G89" s="1">
        <v>455</v>
      </c>
      <c r="H89" s="1"/>
      <c r="I89" s="1"/>
      <c r="J89" s="1"/>
      <c r="K89" s="1"/>
      <c r="L89" s="1"/>
      <c r="M89" s="1"/>
      <c r="N89" s="1"/>
      <c r="O89" s="1">
        <v>0</v>
      </c>
      <c r="P89" s="1">
        <v>0</v>
      </c>
    </row>
    <row r="90" spans="1:16" x14ac:dyDescent="0.3">
      <c r="A90" s="1" t="s">
        <v>95</v>
      </c>
      <c r="B90" s="1" t="s">
        <v>2</v>
      </c>
      <c r="C90" s="1" t="s">
        <v>93</v>
      </c>
      <c r="D90" s="1">
        <v>1720</v>
      </c>
      <c r="E90" s="1">
        <v>23</v>
      </c>
      <c r="F90" s="1" t="s">
        <v>111</v>
      </c>
      <c r="G90" s="1">
        <v>455</v>
      </c>
      <c r="H90" s="1"/>
      <c r="I90" s="1"/>
      <c r="J90" s="1"/>
      <c r="K90" s="1"/>
      <c r="L90" s="1"/>
      <c r="M90" s="1"/>
      <c r="N90" s="1"/>
      <c r="O90" s="1">
        <v>0</v>
      </c>
      <c r="P90" s="1">
        <v>0</v>
      </c>
    </row>
    <row r="91" spans="1:16" x14ac:dyDescent="0.3">
      <c r="A91" s="1" t="s">
        <v>112</v>
      </c>
      <c r="B91" s="1" t="s">
        <v>3</v>
      </c>
      <c r="C91" s="1" t="s">
        <v>113</v>
      </c>
      <c r="D91" s="1">
        <v>856762</v>
      </c>
      <c r="E91" s="1">
        <v>856762</v>
      </c>
      <c r="F91" s="1">
        <v>1</v>
      </c>
      <c r="G91" s="1">
        <v>1</v>
      </c>
      <c r="H91" s="1">
        <v>428381.5</v>
      </c>
      <c r="I91" s="1">
        <v>247326.0300032463</v>
      </c>
      <c r="J91" s="1">
        <v>1</v>
      </c>
      <c r="K91" s="1">
        <v>214191.25</v>
      </c>
      <c r="L91" s="1">
        <v>428381.5</v>
      </c>
      <c r="M91" s="1">
        <v>642571.75</v>
      </c>
      <c r="N91" s="1">
        <v>856762</v>
      </c>
      <c r="O91" s="1">
        <v>0</v>
      </c>
      <c r="P91" s="1">
        <v>0</v>
      </c>
    </row>
    <row r="92" spans="1:16" x14ac:dyDescent="0.3">
      <c r="A92" s="1" t="s">
        <v>112</v>
      </c>
      <c r="B92" s="1" t="s">
        <v>3</v>
      </c>
      <c r="C92" s="1" t="s">
        <v>51</v>
      </c>
      <c r="D92" s="1">
        <v>856762</v>
      </c>
      <c r="E92" s="1">
        <v>6146</v>
      </c>
      <c r="F92" s="1">
        <v>508</v>
      </c>
      <c r="G92" s="1">
        <v>9758</v>
      </c>
      <c r="H92" s="1">
        <v>3136.7412105112039</v>
      </c>
      <c r="I92" s="1">
        <v>1777.5121996877131</v>
      </c>
      <c r="J92" s="1">
        <v>1</v>
      </c>
      <c r="K92" s="1">
        <v>1550</v>
      </c>
      <c r="L92" s="1">
        <v>3135</v>
      </c>
      <c r="M92" s="1">
        <v>4613</v>
      </c>
      <c r="N92" s="1">
        <v>6147</v>
      </c>
      <c r="O92" s="1">
        <v>0</v>
      </c>
      <c r="P92" s="1">
        <v>0</v>
      </c>
    </row>
    <row r="93" spans="1:16" x14ac:dyDescent="0.3">
      <c r="A93" s="1" t="s">
        <v>112</v>
      </c>
      <c r="B93" s="1" t="s">
        <v>3</v>
      </c>
      <c r="C93" s="1" t="s">
        <v>59</v>
      </c>
      <c r="D93" s="1">
        <v>856762</v>
      </c>
      <c r="E93" s="1">
        <v>5449</v>
      </c>
      <c r="F93" s="1" t="s">
        <v>114</v>
      </c>
      <c r="G93" s="1">
        <v>9758</v>
      </c>
      <c r="H93" s="1"/>
      <c r="I93" s="1"/>
      <c r="J93" s="1"/>
      <c r="K93" s="1"/>
      <c r="L93" s="1"/>
      <c r="M93" s="1"/>
      <c r="N93" s="1"/>
      <c r="O93" s="1">
        <v>0</v>
      </c>
      <c r="P93" s="1">
        <v>0</v>
      </c>
    </row>
    <row r="94" spans="1:16" x14ac:dyDescent="0.3">
      <c r="A94" s="1" t="s">
        <v>112</v>
      </c>
      <c r="B94" s="1" t="s">
        <v>3</v>
      </c>
      <c r="C94" s="1" t="s">
        <v>115</v>
      </c>
      <c r="D94" s="1">
        <v>856762</v>
      </c>
      <c r="E94" s="1">
        <v>1</v>
      </c>
      <c r="F94" s="1">
        <v>0</v>
      </c>
      <c r="G94" s="1">
        <v>856762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x14ac:dyDescent="0.3">
      <c r="A95" s="1" t="s">
        <v>112</v>
      </c>
      <c r="B95" s="1" t="s">
        <v>3</v>
      </c>
      <c r="C95" s="1" t="s">
        <v>116</v>
      </c>
      <c r="D95" s="1">
        <v>856762</v>
      </c>
      <c r="E95" s="1">
        <v>9177</v>
      </c>
      <c r="F95" s="7">
        <v>44634</v>
      </c>
      <c r="G95" s="1">
        <v>656</v>
      </c>
      <c r="H95" s="7">
        <v>42238.573316747686</v>
      </c>
      <c r="I95" s="1"/>
      <c r="J95" s="7">
        <v>33183</v>
      </c>
      <c r="K95" s="7">
        <v>40534</v>
      </c>
      <c r="L95" s="7">
        <v>42621</v>
      </c>
      <c r="M95" s="7">
        <v>44390</v>
      </c>
      <c r="N95" s="7">
        <v>45290</v>
      </c>
      <c r="O95" s="1">
        <v>0</v>
      </c>
      <c r="P95" s="1">
        <v>0</v>
      </c>
    </row>
    <row r="96" spans="1:16" x14ac:dyDescent="0.3">
      <c r="A96" s="1" t="s">
        <v>112</v>
      </c>
      <c r="B96" s="1" t="s">
        <v>3</v>
      </c>
      <c r="C96" s="1" t="s">
        <v>117</v>
      </c>
      <c r="D96" s="1">
        <v>856762</v>
      </c>
      <c r="E96" s="1">
        <v>137347</v>
      </c>
      <c r="F96" s="7">
        <v>43056.043749999997</v>
      </c>
      <c r="G96" s="1">
        <v>136</v>
      </c>
      <c r="H96" s="7">
        <v>42239.062952106477</v>
      </c>
      <c r="I96" s="1"/>
      <c r="J96" s="7">
        <v>33183</v>
      </c>
      <c r="K96" s="7">
        <v>40534.5625</v>
      </c>
      <c r="L96" s="7">
        <v>42621.46875</v>
      </c>
      <c r="M96" s="7">
        <v>44390.395833333343</v>
      </c>
      <c r="N96" s="7">
        <v>45290.79791666667</v>
      </c>
      <c r="O96" s="1">
        <v>0</v>
      </c>
      <c r="P96" s="1">
        <v>0</v>
      </c>
    </row>
    <row r="97" spans="1:16" x14ac:dyDescent="0.3">
      <c r="A97" s="1" t="s">
        <v>112</v>
      </c>
      <c r="B97" s="1" t="s">
        <v>3</v>
      </c>
      <c r="C97" s="1" t="s">
        <v>118</v>
      </c>
      <c r="D97" s="1">
        <v>843547</v>
      </c>
      <c r="E97" s="1">
        <v>8702</v>
      </c>
      <c r="F97" s="7">
        <v>44656</v>
      </c>
      <c r="G97" s="1">
        <v>547</v>
      </c>
      <c r="H97" s="7">
        <v>42255.784793263891</v>
      </c>
      <c r="I97" s="1"/>
      <c r="J97" s="7">
        <v>35884</v>
      </c>
      <c r="K97" s="7">
        <v>40553</v>
      </c>
      <c r="L97" s="7">
        <v>42621</v>
      </c>
      <c r="M97" s="7">
        <v>44386</v>
      </c>
      <c r="N97" s="7">
        <v>45363</v>
      </c>
      <c r="O97" s="1">
        <v>13215</v>
      </c>
      <c r="P97" s="1">
        <v>1.542435355442935E-2</v>
      </c>
    </row>
    <row r="98" spans="1:16" x14ac:dyDescent="0.3">
      <c r="A98" s="1" t="s">
        <v>112</v>
      </c>
      <c r="B98" s="1" t="s">
        <v>3</v>
      </c>
      <c r="C98" s="1" t="s">
        <v>119</v>
      </c>
      <c r="D98" s="1">
        <v>843547</v>
      </c>
      <c r="E98" s="1">
        <v>135110</v>
      </c>
      <c r="F98" s="7">
        <v>43254.545162037037</v>
      </c>
      <c r="G98" s="1">
        <v>128</v>
      </c>
      <c r="H98" s="7">
        <v>42256.25331925926</v>
      </c>
      <c r="I98" s="1"/>
      <c r="J98" s="7">
        <v>35884.375</v>
      </c>
      <c r="K98" s="7">
        <v>40553.583333333343</v>
      </c>
      <c r="L98" s="7">
        <v>42621.416666666657</v>
      </c>
      <c r="M98" s="7">
        <v>44386.791759259257</v>
      </c>
      <c r="N98" s="7">
        <v>45363.5</v>
      </c>
      <c r="O98" s="1">
        <v>13215</v>
      </c>
      <c r="P98" s="1">
        <v>1.542435355442935E-2</v>
      </c>
    </row>
    <row r="99" spans="1:16" x14ac:dyDescent="0.3">
      <c r="A99" s="1" t="s">
        <v>112</v>
      </c>
      <c r="B99" s="1" t="s">
        <v>3</v>
      </c>
      <c r="C99" s="1" t="s">
        <v>120</v>
      </c>
      <c r="D99" s="1">
        <v>856762</v>
      </c>
      <c r="E99" s="1">
        <v>2</v>
      </c>
      <c r="F99" s="1">
        <v>44786629</v>
      </c>
      <c r="G99" s="1">
        <v>539517</v>
      </c>
      <c r="H99" s="1">
        <v>44786628.259432606</v>
      </c>
      <c r="I99" s="1">
        <v>0.96576177735135882</v>
      </c>
      <c r="J99" s="1">
        <v>44786627</v>
      </c>
      <c r="K99" s="1">
        <v>44786627</v>
      </c>
      <c r="L99" s="1">
        <v>44786629</v>
      </c>
      <c r="M99" s="1">
        <v>44786629</v>
      </c>
      <c r="N99" s="1">
        <v>44786629</v>
      </c>
      <c r="O99" s="1">
        <v>0</v>
      </c>
      <c r="P99" s="1">
        <v>0</v>
      </c>
    </row>
    <row r="100" spans="1:16" x14ac:dyDescent="0.3">
      <c r="A100" s="1" t="s">
        <v>112</v>
      </c>
      <c r="B100" s="1" t="s">
        <v>3</v>
      </c>
      <c r="C100" s="1" t="s">
        <v>121</v>
      </c>
      <c r="D100" s="1">
        <v>856762</v>
      </c>
      <c r="E100" s="1">
        <v>2</v>
      </c>
      <c r="F100" s="1" t="s">
        <v>122</v>
      </c>
      <c r="G100" s="1">
        <v>539517</v>
      </c>
      <c r="H100" s="1"/>
      <c r="I100" s="1"/>
      <c r="J100" s="1"/>
      <c r="K100" s="1"/>
      <c r="L100" s="1"/>
      <c r="M100" s="1"/>
      <c r="N100" s="1"/>
      <c r="O100" s="1">
        <v>0</v>
      </c>
      <c r="P100" s="1">
        <v>0</v>
      </c>
    </row>
    <row r="101" spans="1:16" x14ac:dyDescent="0.3">
      <c r="A101" s="1" t="s">
        <v>112</v>
      </c>
      <c r="B101" s="1" t="s">
        <v>3</v>
      </c>
      <c r="C101" s="1" t="s">
        <v>123</v>
      </c>
      <c r="D101" s="1">
        <v>856762</v>
      </c>
      <c r="E101" s="1">
        <v>3</v>
      </c>
      <c r="F101" s="1">
        <v>4033240</v>
      </c>
      <c r="G101" s="1">
        <v>552582</v>
      </c>
      <c r="H101" s="1">
        <v>3560906.2678947011</v>
      </c>
      <c r="I101" s="1">
        <v>1367879.6609704909</v>
      </c>
      <c r="J101" s="1">
        <v>0</v>
      </c>
      <c r="K101" s="1">
        <v>4033240</v>
      </c>
      <c r="L101" s="1">
        <v>4033240</v>
      </c>
      <c r="M101" s="1">
        <v>4033240</v>
      </c>
      <c r="N101" s="1">
        <v>4230359</v>
      </c>
      <c r="O101" s="1">
        <v>0</v>
      </c>
      <c r="P101" s="1">
        <v>0</v>
      </c>
    </row>
    <row r="102" spans="1:16" x14ac:dyDescent="0.3">
      <c r="A102" s="1" t="s">
        <v>112</v>
      </c>
      <c r="B102" s="1" t="s">
        <v>3</v>
      </c>
      <c r="C102" s="1" t="s">
        <v>124</v>
      </c>
      <c r="D102" s="1">
        <v>0</v>
      </c>
      <c r="E102" s="1">
        <v>0</v>
      </c>
      <c r="F102" s="1"/>
      <c r="G102" s="1">
        <v>0</v>
      </c>
      <c r="H102" s="1"/>
      <c r="I102" s="1"/>
      <c r="J102" s="1"/>
      <c r="K102" s="1"/>
      <c r="L102" s="1"/>
      <c r="M102" s="1"/>
      <c r="N102" s="1"/>
      <c r="O102" s="1">
        <v>856762</v>
      </c>
      <c r="P102" s="1">
        <v>1</v>
      </c>
    </row>
    <row r="103" spans="1:16" x14ac:dyDescent="0.3">
      <c r="A103" s="1" t="s">
        <v>112</v>
      </c>
      <c r="B103" s="1" t="s">
        <v>3</v>
      </c>
      <c r="C103" s="1" t="s">
        <v>29</v>
      </c>
      <c r="D103" s="1">
        <v>856423</v>
      </c>
      <c r="E103" s="1">
        <v>1497</v>
      </c>
      <c r="F103" s="1">
        <v>3136</v>
      </c>
      <c r="G103" s="1">
        <v>64534</v>
      </c>
      <c r="H103" s="1">
        <v>3601.8160862097352</v>
      </c>
      <c r="I103" s="1">
        <v>2219.2483160368351</v>
      </c>
      <c r="J103" s="1">
        <v>3</v>
      </c>
      <c r="K103" s="1">
        <v>2509</v>
      </c>
      <c r="L103" s="1">
        <v>3544</v>
      </c>
      <c r="M103" s="1">
        <v>4763</v>
      </c>
      <c r="N103" s="1">
        <v>15162</v>
      </c>
      <c r="O103" s="1">
        <v>339</v>
      </c>
      <c r="P103" s="1">
        <v>3.956758119524442E-4</v>
      </c>
    </row>
    <row r="104" spans="1:16" x14ac:dyDescent="0.3">
      <c r="A104" s="1" t="s">
        <v>112</v>
      </c>
      <c r="B104" s="1" t="s">
        <v>3</v>
      </c>
      <c r="C104" s="1" t="s">
        <v>125</v>
      </c>
      <c r="D104" s="1">
        <v>856423</v>
      </c>
      <c r="E104" s="1">
        <v>1431</v>
      </c>
      <c r="F104" s="1" t="s">
        <v>126</v>
      </c>
      <c r="G104" s="1">
        <v>64534</v>
      </c>
      <c r="H104" s="1"/>
      <c r="I104" s="1"/>
      <c r="J104" s="1"/>
      <c r="K104" s="1"/>
      <c r="L104" s="1"/>
      <c r="M104" s="1"/>
      <c r="N104" s="1"/>
      <c r="O104" s="1">
        <v>339</v>
      </c>
      <c r="P104" s="1">
        <v>3.956758119524442E-4</v>
      </c>
    </row>
    <row r="105" spans="1:16" x14ac:dyDescent="0.3">
      <c r="A105" s="1" t="s">
        <v>112</v>
      </c>
      <c r="B105" s="1" t="s">
        <v>3</v>
      </c>
      <c r="C105" s="1" t="s">
        <v>71</v>
      </c>
      <c r="D105" s="1">
        <v>843445</v>
      </c>
      <c r="E105" s="1">
        <v>283734</v>
      </c>
      <c r="F105" s="1">
        <v>448812</v>
      </c>
      <c r="G105" s="1">
        <v>128</v>
      </c>
      <c r="H105" s="1">
        <v>253074.06618333151</v>
      </c>
      <c r="I105" s="1">
        <v>144048.56034479031</v>
      </c>
      <c r="J105" s="1">
        <v>1</v>
      </c>
      <c r="K105" s="1">
        <v>125861</v>
      </c>
      <c r="L105" s="1">
        <v>260082</v>
      </c>
      <c r="M105" s="1">
        <v>394260</v>
      </c>
      <c r="N105" s="1">
        <v>456446</v>
      </c>
      <c r="O105" s="1">
        <v>13317</v>
      </c>
      <c r="P105" s="1">
        <v>1.554340645360088E-2</v>
      </c>
    </row>
    <row r="106" spans="1:16" x14ac:dyDescent="0.3">
      <c r="A106" s="1" t="s">
        <v>112</v>
      </c>
      <c r="B106" s="1" t="s">
        <v>3</v>
      </c>
      <c r="C106" s="1" t="s">
        <v>96</v>
      </c>
      <c r="D106" s="1">
        <v>14268</v>
      </c>
      <c r="E106" s="1">
        <v>1720</v>
      </c>
      <c r="F106" s="1">
        <v>1470</v>
      </c>
      <c r="G106" s="1">
        <v>36</v>
      </c>
      <c r="H106" s="1">
        <v>888.45009812167086</v>
      </c>
      <c r="I106" s="1">
        <v>492.24913524504672</v>
      </c>
      <c r="J106" s="1">
        <v>1</v>
      </c>
      <c r="K106" s="1">
        <v>467</v>
      </c>
      <c r="L106" s="1">
        <v>879</v>
      </c>
      <c r="M106" s="1">
        <v>1323</v>
      </c>
      <c r="N106" s="1">
        <v>1720</v>
      </c>
      <c r="O106" s="1">
        <v>842494</v>
      </c>
      <c r="P106" s="1">
        <v>0.98334660033941745</v>
      </c>
    </row>
    <row r="107" spans="1:16" x14ac:dyDescent="0.3">
      <c r="A107" s="1" t="s">
        <v>112</v>
      </c>
      <c r="B107" s="1" t="s">
        <v>3</v>
      </c>
      <c r="C107" s="1" t="s">
        <v>127</v>
      </c>
      <c r="D107" s="1">
        <v>856697</v>
      </c>
      <c r="E107" s="1">
        <v>10258</v>
      </c>
      <c r="F107" s="1" t="s">
        <v>128</v>
      </c>
      <c r="G107" s="1">
        <v>16298</v>
      </c>
      <c r="H107" s="1"/>
      <c r="I107" s="1"/>
      <c r="J107" s="1"/>
      <c r="K107" s="1"/>
      <c r="L107" s="1"/>
      <c r="M107" s="1"/>
      <c r="N107" s="1"/>
      <c r="O107" s="1">
        <v>65</v>
      </c>
      <c r="P107" s="1">
        <v>7.5867043589701697E-5</v>
      </c>
    </row>
    <row r="108" spans="1:16" x14ac:dyDescent="0.3">
      <c r="A108" s="1" t="s">
        <v>112</v>
      </c>
      <c r="B108" s="1" t="s">
        <v>3</v>
      </c>
      <c r="C108" s="1" t="s">
        <v>129</v>
      </c>
      <c r="D108" s="1">
        <v>855381</v>
      </c>
      <c r="E108" s="1">
        <v>10820</v>
      </c>
      <c r="F108" s="1" t="s">
        <v>130</v>
      </c>
      <c r="G108" s="1">
        <v>16298</v>
      </c>
      <c r="H108" s="1"/>
      <c r="I108" s="1"/>
      <c r="J108" s="1"/>
      <c r="K108" s="1"/>
      <c r="L108" s="1"/>
      <c r="M108" s="1"/>
      <c r="N108" s="1"/>
      <c r="O108" s="1">
        <v>1381</v>
      </c>
      <c r="P108" s="1">
        <v>1.611882879959662E-3</v>
      </c>
    </row>
    <row r="109" spans="1:16" x14ac:dyDescent="0.3">
      <c r="A109" s="1" t="s">
        <v>112</v>
      </c>
      <c r="B109" s="1" t="s">
        <v>3</v>
      </c>
      <c r="C109" s="1" t="s">
        <v>131</v>
      </c>
      <c r="D109" s="1">
        <v>856762</v>
      </c>
      <c r="E109" s="1">
        <v>1</v>
      </c>
      <c r="F109" s="1">
        <v>0</v>
      </c>
      <c r="G109" s="1">
        <v>856762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 x14ac:dyDescent="0.3">
      <c r="A110" s="1" t="s">
        <v>112</v>
      </c>
      <c r="B110" s="1" t="s">
        <v>3</v>
      </c>
      <c r="C110" s="1" t="s">
        <v>132</v>
      </c>
      <c r="D110" s="1">
        <v>746928</v>
      </c>
      <c r="E110" s="1">
        <v>2</v>
      </c>
      <c r="F110" s="1" t="s">
        <v>31</v>
      </c>
      <c r="G110" s="1">
        <v>552582</v>
      </c>
      <c r="H110" s="1"/>
      <c r="I110" s="1"/>
      <c r="J110" s="1"/>
      <c r="K110" s="1"/>
      <c r="L110" s="1"/>
      <c r="M110" s="1"/>
      <c r="N110" s="1"/>
      <c r="O110" s="1">
        <v>109834</v>
      </c>
      <c r="P110" s="1">
        <v>0.12819662870201989</v>
      </c>
    </row>
    <row r="111" spans="1:16" x14ac:dyDescent="0.3">
      <c r="A111" s="1" t="s">
        <v>112</v>
      </c>
      <c r="B111" s="1" t="s">
        <v>3</v>
      </c>
      <c r="C111" s="1" t="s">
        <v>89</v>
      </c>
      <c r="D111" s="1">
        <v>856198</v>
      </c>
      <c r="E111" s="1">
        <v>290974</v>
      </c>
      <c r="F111" s="1" t="s">
        <v>133</v>
      </c>
      <c r="G111" s="1">
        <v>128</v>
      </c>
      <c r="H111" s="1"/>
      <c r="I111" s="1"/>
      <c r="J111" s="1"/>
      <c r="K111" s="1"/>
      <c r="L111" s="1"/>
      <c r="M111" s="1"/>
      <c r="N111" s="1"/>
      <c r="O111" s="1">
        <v>564</v>
      </c>
      <c r="P111" s="1">
        <v>6.5829250130141161E-4</v>
      </c>
    </row>
    <row r="112" spans="1:16" x14ac:dyDescent="0.3">
      <c r="A112" s="1" t="s">
        <v>112</v>
      </c>
      <c r="B112" s="1" t="s">
        <v>3</v>
      </c>
      <c r="C112" s="1" t="s">
        <v>134</v>
      </c>
      <c r="D112" s="1">
        <v>856762</v>
      </c>
      <c r="E112" s="1">
        <v>3</v>
      </c>
      <c r="F112" s="1" t="s">
        <v>82</v>
      </c>
      <c r="G112" s="1">
        <v>677479</v>
      </c>
      <c r="H112" s="1"/>
      <c r="I112" s="1"/>
      <c r="J112" s="1"/>
      <c r="K112" s="1"/>
      <c r="L112" s="1"/>
      <c r="M112" s="1"/>
      <c r="N112" s="1"/>
      <c r="O112" s="1">
        <v>0</v>
      </c>
      <c r="P112" s="1">
        <v>0</v>
      </c>
    </row>
    <row r="113" spans="1:16" x14ac:dyDescent="0.3">
      <c r="A113" s="1" t="s">
        <v>112</v>
      </c>
      <c r="B113" s="1" t="s">
        <v>3</v>
      </c>
      <c r="C113" s="1" t="s">
        <v>91</v>
      </c>
      <c r="D113" s="1">
        <v>856198</v>
      </c>
      <c r="E113" s="1">
        <v>53</v>
      </c>
      <c r="F113" s="1" t="s">
        <v>92</v>
      </c>
      <c r="G113" s="1">
        <v>86442</v>
      </c>
      <c r="H113" s="1"/>
      <c r="I113" s="1"/>
      <c r="J113" s="1"/>
      <c r="K113" s="1"/>
      <c r="L113" s="1"/>
      <c r="M113" s="1"/>
      <c r="N113" s="1"/>
      <c r="O113" s="1">
        <v>564</v>
      </c>
      <c r="P113" s="1">
        <v>6.5829250130141161E-4</v>
      </c>
    </row>
    <row r="114" spans="1:16" x14ac:dyDescent="0.3">
      <c r="A114" s="1" t="s">
        <v>112</v>
      </c>
      <c r="B114" s="1" t="s">
        <v>3</v>
      </c>
      <c r="C114" s="1" t="s">
        <v>93</v>
      </c>
      <c r="D114" s="1">
        <v>856762</v>
      </c>
      <c r="E114" s="1">
        <v>54</v>
      </c>
      <c r="F114" s="1" t="s">
        <v>94</v>
      </c>
      <c r="G114" s="1">
        <v>86442</v>
      </c>
      <c r="H114" s="1"/>
      <c r="I114" s="1"/>
      <c r="J114" s="1"/>
      <c r="K114" s="1"/>
      <c r="L114" s="1"/>
      <c r="M114" s="1"/>
      <c r="N114" s="1"/>
      <c r="O114" s="1">
        <v>0</v>
      </c>
      <c r="P114" s="1">
        <v>0</v>
      </c>
    </row>
    <row r="115" spans="1:16" x14ac:dyDescent="0.3">
      <c r="A115" s="1" t="s">
        <v>112</v>
      </c>
      <c r="B115" s="1" t="s">
        <v>3</v>
      </c>
      <c r="C115" s="1" t="s">
        <v>135</v>
      </c>
      <c r="D115" s="1">
        <v>856762</v>
      </c>
      <c r="E115" s="1">
        <v>2</v>
      </c>
      <c r="F115" s="1" t="s">
        <v>136</v>
      </c>
      <c r="G115" s="1">
        <v>754971</v>
      </c>
      <c r="H115" s="1"/>
      <c r="I115" s="1"/>
      <c r="J115" s="1"/>
      <c r="K115" s="1"/>
      <c r="L115" s="1"/>
      <c r="M115" s="1"/>
      <c r="N115" s="1"/>
      <c r="O115" s="1">
        <v>0</v>
      </c>
      <c r="P115" s="1">
        <v>0</v>
      </c>
    </row>
    <row r="116" spans="1:16" x14ac:dyDescent="0.3">
      <c r="A116" s="1" t="s">
        <v>137</v>
      </c>
      <c r="B116" s="1" t="s">
        <v>4</v>
      </c>
      <c r="C116" s="1" t="s">
        <v>138</v>
      </c>
      <c r="D116" s="1">
        <v>3653167</v>
      </c>
      <c r="E116" s="1">
        <v>3653167</v>
      </c>
      <c r="F116" s="1">
        <v>1</v>
      </c>
      <c r="G116" s="1">
        <v>1</v>
      </c>
      <c r="H116" s="1">
        <v>1826584</v>
      </c>
      <c r="I116" s="1">
        <v>1054578.6197598861</v>
      </c>
      <c r="J116" s="1">
        <v>1</v>
      </c>
      <c r="K116" s="1">
        <v>913292.5</v>
      </c>
      <c r="L116" s="1">
        <v>1826584</v>
      </c>
      <c r="M116" s="1">
        <v>2739875.5</v>
      </c>
      <c r="N116" s="1">
        <v>3653167</v>
      </c>
      <c r="O116" s="1">
        <v>0</v>
      </c>
      <c r="P116" s="1">
        <v>0</v>
      </c>
    </row>
    <row r="117" spans="1:16" x14ac:dyDescent="0.3">
      <c r="A117" s="1" t="s">
        <v>137</v>
      </c>
      <c r="B117" s="1" t="s">
        <v>4</v>
      </c>
      <c r="C117" s="1" t="s">
        <v>51</v>
      </c>
      <c r="D117" s="1">
        <v>3653167</v>
      </c>
      <c r="E117" s="1">
        <v>6114</v>
      </c>
      <c r="F117" s="1">
        <v>5969</v>
      </c>
      <c r="G117" s="1">
        <v>29342</v>
      </c>
      <c r="H117" s="1">
        <v>3198.702096016963</v>
      </c>
      <c r="I117" s="1">
        <v>1800.240687488802</v>
      </c>
      <c r="J117" s="1">
        <v>1</v>
      </c>
      <c r="K117" s="1">
        <v>1554</v>
      </c>
      <c r="L117" s="1">
        <v>3267</v>
      </c>
      <c r="M117" s="1">
        <v>4750</v>
      </c>
      <c r="N117" s="1">
        <v>6147</v>
      </c>
      <c r="O117" s="1">
        <v>0</v>
      </c>
      <c r="P117" s="1">
        <v>0</v>
      </c>
    </row>
    <row r="118" spans="1:16" x14ac:dyDescent="0.3">
      <c r="A118" s="1" t="s">
        <v>137</v>
      </c>
      <c r="B118" s="1" t="s">
        <v>4</v>
      </c>
      <c r="C118" s="1" t="s">
        <v>59</v>
      </c>
      <c r="D118" s="1">
        <v>3653167</v>
      </c>
      <c r="E118" s="1">
        <v>5420</v>
      </c>
      <c r="F118" s="1" t="s">
        <v>139</v>
      </c>
      <c r="G118" s="1">
        <v>29342</v>
      </c>
      <c r="H118" s="1"/>
      <c r="I118" s="1"/>
      <c r="J118" s="1"/>
      <c r="K118" s="1"/>
      <c r="L118" s="1"/>
      <c r="M118" s="1"/>
      <c r="N118" s="1"/>
      <c r="O118" s="1">
        <v>0</v>
      </c>
      <c r="P118" s="1">
        <v>0</v>
      </c>
    </row>
    <row r="119" spans="1:16" x14ac:dyDescent="0.3">
      <c r="A119" s="1" t="s">
        <v>137</v>
      </c>
      <c r="B119" s="1" t="s">
        <v>4</v>
      </c>
      <c r="C119" s="1" t="s">
        <v>140</v>
      </c>
      <c r="D119" s="1">
        <v>3653167</v>
      </c>
      <c r="E119" s="1">
        <v>3856</v>
      </c>
      <c r="F119" s="1">
        <v>0</v>
      </c>
      <c r="G119" s="1">
        <v>798838</v>
      </c>
      <c r="H119" s="1">
        <v>29616008.998902049</v>
      </c>
      <c r="I119" s="1">
        <v>19693503.22871032</v>
      </c>
      <c r="J119" s="1">
        <v>0</v>
      </c>
      <c r="K119" s="1">
        <v>2081164</v>
      </c>
      <c r="L119" s="1">
        <v>42983734</v>
      </c>
      <c r="M119" s="1">
        <v>42996461</v>
      </c>
      <c r="N119" s="1">
        <v>43008955</v>
      </c>
      <c r="O119" s="1">
        <v>0</v>
      </c>
      <c r="P119" s="1">
        <v>0</v>
      </c>
    </row>
    <row r="120" spans="1:16" x14ac:dyDescent="0.3">
      <c r="A120" s="1" t="s">
        <v>137</v>
      </c>
      <c r="B120" s="1" t="s">
        <v>4</v>
      </c>
      <c r="C120" s="1" t="s">
        <v>141</v>
      </c>
      <c r="D120" s="1">
        <v>3653167</v>
      </c>
      <c r="E120" s="1">
        <v>9445</v>
      </c>
      <c r="F120" s="7">
        <v>44641</v>
      </c>
      <c r="G120" s="1">
        <v>3414</v>
      </c>
      <c r="H120" s="7">
        <v>42924.90784133102</v>
      </c>
      <c r="I120" s="1"/>
      <c r="J120" s="7">
        <v>35828</v>
      </c>
      <c r="K120" s="7">
        <v>41507</v>
      </c>
      <c r="L120" s="7">
        <v>43943</v>
      </c>
      <c r="M120" s="7">
        <v>44774</v>
      </c>
      <c r="N120" s="7">
        <v>45291</v>
      </c>
      <c r="O120" s="1">
        <v>0</v>
      </c>
      <c r="P120" s="1">
        <v>0</v>
      </c>
    </row>
    <row r="121" spans="1:16" x14ac:dyDescent="0.3">
      <c r="A121" s="1" t="s">
        <v>137</v>
      </c>
      <c r="B121" s="1" t="s">
        <v>4</v>
      </c>
      <c r="C121" s="1" t="s">
        <v>142</v>
      </c>
      <c r="D121" s="1">
        <v>3653167</v>
      </c>
      <c r="E121" s="1">
        <v>9445</v>
      </c>
      <c r="F121" s="7">
        <v>44641</v>
      </c>
      <c r="G121" s="1">
        <v>3414</v>
      </c>
      <c r="H121" s="7">
        <v>42924.90784133102</v>
      </c>
      <c r="I121" s="1"/>
      <c r="J121" s="7">
        <v>35828</v>
      </c>
      <c r="K121" s="7">
        <v>41507</v>
      </c>
      <c r="L121" s="7">
        <v>43943</v>
      </c>
      <c r="M121" s="7">
        <v>44774</v>
      </c>
      <c r="N121" s="7">
        <v>45291</v>
      </c>
      <c r="O121" s="1">
        <v>0</v>
      </c>
      <c r="P121" s="1">
        <v>0</v>
      </c>
    </row>
    <row r="122" spans="1:16" x14ac:dyDescent="0.3">
      <c r="A122" s="1" t="s">
        <v>137</v>
      </c>
      <c r="B122" s="1" t="s">
        <v>4</v>
      </c>
      <c r="C122" s="1" t="s">
        <v>143</v>
      </c>
      <c r="D122" s="1">
        <v>3653167</v>
      </c>
      <c r="E122" s="1">
        <v>9625</v>
      </c>
      <c r="F122" s="7">
        <v>44643</v>
      </c>
      <c r="G122" s="1">
        <v>3365</v>
      </c>
      <c r="H122" s="7">
        <v>42935.410817245371</v>
      </c>
      <c r="I122" s="1"/>
      <c r="J122" s="7">
        <v>35805</v>
      </c>
      <c r="K122" s="7">
        <v>41523</v>
      </c>
      <c r="L122" s="7">
        <v>43958</v>
      </c>
      <c r="M122" s="7">
        <v>44780</v>
      </c>
      <c r="N122" s="7">
        <v>45470</v>
      </c>
      <c r="O122" s="1">
        <v>0</v>
      </c>
      <c r="P122" s="1">
        <v>0</v>
      </c>
    </row>
    <row r="123" spans="1:16" x14ac:dyDescent="0.3">
      <c r="A123" s="1" t="s">
        <v>137</v>
      </c>
      <c r="B123" s="1" t="s">
        <v>4</v>
      </c>
      <c r="C123" s="1" t="s">
        <v>144</v>
      </c>
      <c r="D123" s="1">
        <v>3653167</v>
      </c>
      <c r="E123" s="1">
        <v>9625</v>
      </c>
      <c r="F123" s="7">
        <v>44643</v>
      </c>
      <c r="G123" s="1">
        <v>3365</v>
      </c>
      <c r="H123" s="7">
        <v>42935.410817245371</v>
      </c>
      <c r="I123" s="1"/>
      <c r="J123" s="7">
        <v>35805</v>
      </c>
      <c r="K123" s="7">
        <v>41523</v>
      </c>
      <c r="L123" s="7">
        <v>43958</v>
      </c>
      <c r="M123" s="7">
        <v>44780</v>
      </c>
      <c r="N123" s="7">
        <v>45470</v>
      </c>
      <c r="O123" s="1">
        <v>0</v>
      </c>
      <c r="P123" s="1">
        <v>0</v>
      </c>
    </row>
    <row r="124" spans="1:16" x14ac:dyDescent="0.3">
      <c r="A124" s="1" t="s">
        <v>137</v>
      </c>
      <c r="B124" s="1" t="s">
        <v>4</v>
      </c>
      <c r="C124" s="1" t="s">
        <v>145</v>
      </c>
      <c r="D124" s="1">
        <v>0</v>
      </c>
      <c r="E124" s="1">
        <v>0</v>
      </c>
      <c r="F124" s="1"/>
      <c r="G124" s="1">
        <v>0</v>
      </c>
      <c r="H124" s="1"/>
      <c r="I124" s="1"/>
      <c r="J124" s="1"/>
      <c r="K124" s="1"/>
      <c r="L124" s="1"/>
      <c r="M124" s="1"/>
      <c r="N124" s="1"/>
      <c r="O124" s="1">
        <v>3653167</v>
      </c>
      <c r="P124" s="1">
        <v>1</v>
      </c>
    </row>
    <row r="125" spans="1:16" x14ac:dyDescent="0.3">
      <c r="A125" s="1" t="s">
        <v>137</v>
      </c>
      <c r="B125" s="1" t="s">
        <v>4</v>
      </c>
      <c r="C125" s="1" t="s">
        <v>146</v>
      </c>
      <c r="D125" s="1">
        <v>3653167</v>
      </c>
      <c r="E125" s="1">
        <v>1</v>
      </c>
      <c r="F125" s="1">
        <v>38000177</v>
      </c>
      <c r="G125" s="1">
        <v>3653167</v>
      </c>
      <c r="H125" s="1">
        <v>38000177</v>
      </c>
      <c r="I125" s="1">
        <v>0</v>
      </c>
      <c r="J125" s="1">
        <v>38000177</v>
      </c>
      <c r="K125" s="1">
        <v>38000177</v>
      </c>
      <c r="L125" s="1">
        <v>38000177</v>
      </c>
      <c r="M125" s="1">
        <v>38000177</v>
      </c>
      <c r="N125" s="1">
        <v>38000177</v>
      </c>
      <c r="O125" s="1">
        <v>0</v>
      </c>
      <c r="P125" s="1">
        <v>0</v>
      </c>
    </row>
    <row r="126" spans="1:16" x14ac:dyDescent="0.3">
      <c r="A126" s="1" t="s">
        <v>137</v>
      </c>
      <c r="B126" s="1" t="s">
        <v>4</v>
      </c>
      <c r="C126" s="1" t="s">
        <v>147</v>
      </c>
      <c r="D126" s="1">
        <v>3653167</v>
      </c>
      <c r="E126" s="1">
        <v>1</v>
      </c>
      <c r="F126" s="1" t="s">
        <v>148</v>
      </c>
      <c r="G126" s="1">
        <v>3653167</v>
      </c>
      <c r="H126" s="1"/>
      <c r="I126" s="1"/>
      <c r="J126" s="1"/>
      <c r="K126" s="1"/>
      <c r="L126" s="1"/>
      <c r="M126" s="1"/>
      <c r="N126" s="1"/>
      <c r="O126" s="1">
        <v>0</v>
      </c>
      <c r="P126" s="1">
        <v>0</v>
      </c>
    </row>
    <row r="127" spans="1:16" x14ac:dyDescent="0.3">
      <c r="A127" s="1" t="s">
        <v>137</v>
      </c>
      <c r="B127" s="1" t="s">
        <v>4</v>
      </c>
      <c r="C127" s="1" t="s">
        <v>124</v>
      </c>
      <c r="D127" s="1">
        <v>0</v>
      </c>
      <c r="E127" s="1">
        <v>0</v>
      </c>
      <c r="F127" s="1"/>
      <c r="G127" s="1">
        <v>0</v>
      </c>
      <c r="H127" s="1"/>
      <c r="I127" s="1"/>
      <c r="J127" s="1"/>
      <c r="K127" s="1"/>
      <c r="L127" s="1"/>
      <c r="M127" s="1"/>
      <c r="N127" s="1"/>
      <c r="O127" s="1">
        <v>3653167</v>
      </c>
      <c r="P127" s="1">
        <v>1</v>
      </c>
    </row>
    <row r="128" spans="1:16" x14ac:dyDescent="0.3">
      <c r="A128" s="1" t="s">
        <v>137</v>
      </c>
      <c r="B128" s="1" t="s">
        <v>4</v>
      </c>
      <c r="C128" s="1" t="s">
        <v>149</v>
      </c>
      <c r="D128" s="1">
        <v>3653167</v>
      </c>
      <c r="E128" s="1">
        <v>1</v>
      </c>
      <c r="F128" s="1">
        <v>0</v>
      </c>
      <c r="G128" s="1">
        <v>3653167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 x14ac:dyDescent="0.3">
      <c r="A129" s="1" t="s">
        <v>137</v>
      </c>
      <c r="B129" s="1" t="s">
        <v>4</v>
      </c>
      <c r="C129" s="1" t="s">
        <v>150</v>
      </c>
      <c r="D129" s="1">
        <v>3653167</v>
      </c>
      <c r="E129" s="1">
        <v>1386</v>
      </c>
      <c r="F129" s="1">
        <v>1</v>
      </c>
      <c r="G129" s="1">
        <v>1528665</v>
      </c>
      <c r="H129" s="1">
        <v>29.872743428345871</v>
      </c>
      <c r="I129" s="1">
        <v>574.82830769480995</v>
      </c>
      <c r="J129" s="1">
        <v>-90</v>
      </c>
      <c r="K129" s="1">
        <v>1</v>
      </c>
      <c r="L129" s="1">
        <v>2</v>
      </c>
      <c r="M129" s="1">
        <v>5</v>
      </c>
      <c r="N129" s="1">
        <v>231000</v>
      </c>
      <c r="O129" s="1">
        <v>0</v>
      </c>
      <c r="P129" s="1">
        <v>0</v>
      </c>
    </row>
    <row r="130" spans="1:16" x14ac:dyDescent="0.3">
      <c r="A130" s="1" t="s">
        <v>137</v>
      </c>
      <c r="B130" s="1" t="s">
        <v>4</v>
      </c>
      <c r="C130" s="1" t="s">
        <v>151</v>
      </c>
      <c r="D130" s="1">
        <v>3653167</v>
      </c>
      <c r="E130" s="1">
        <v>187</v>
      </c>
      <c r="F130" s="1">
        <v>1</v>
      </c>
      <c r="G130" s="1">
        <v>2827324</v>
      </c>
      <c r="H130" s="1">
        <v>9.5029759110382859</v>
      </c>
      <c r="I130" s="1">
        <v>22.276147889246531</v>
      </c>
      <c r="J130" s="1">
        <v>-30</v>
      </c>
      <c r="K130" s="1">
        <v>1</v>
      </c>
      <c r="L130" s="1">
        <v>1</v>
      </c>
      <c r="M130" s="1">
        <v>1</v>
      </c>
      <c r="N130" s="1">
        <v>180</v>
      </c>
      <c r="O130" s="1">
        <v>0</v>
      </c>
      <c r="P130" s="1">
        <v>0</v>
      </c>
    </row>
    <row r="131" spans="1:16" x14ac:dyDescent="0.3">
      <c r="A131" s="1" t="s">
        <v>137</v>
      </c>
      <c r="B131" s="1" t="s">
        <v>4</v>
      </c>
      <c r="C131" s="1" t="s">
        <v>152</v>
      </c>
      <c r="D131" s="1">
        <v>0</v>
      </c>
      <c r="E131" s="1">
        <v>0</v>
      </c>
      <c r="F131" s="1"/>
      <c r="G131" s="1">
        <v>0</v>
      </c>
      <c r="H131" s="1"/>
      <c r="I131" s="1"/>
      <c r="J131" s="1"/>
      <c r="K131" s="1"/>
      <c r="L131" s="1"/>
      <c r="M131" s="1"/>
      <c r="N131" s="1"/>
      <c r="O131" s="1">
        <v>3653167</v>
      </c>
      <c r="P131" s="1">
        <v>1</v>
      </c>
    </row>
    <row r="132" spans="1:16" x14ac:dyDescent="0.3">
      <c r="A132" s="1" t="s">
        <v>137</v>
      </c>
      <c r="B132" s="1" t="s">
        <v>4</v>
      </c>
      <c r="C132" s="1" t="s">
        <v>153</v>
      </c>
      <c r="D132" s="1">
        <v>3653167</v>
      </c>
      <c r="E132" s="1">
        <v>1</v>
      </c>
      <c r="F132" s="1">
        <v>0</v>
      </c>
      <c r="G132" s="1">
        <v>3653167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 x14ac:dyDescent="0.3">
      <c r="A133" s="1" t="s">
        <v>137</v>
      </c>
      <c r="B133" s="1" t="s">
        <v>4</v>
      </c>
      <c r="C133" s="1" t="s">
        <v>154</v>
      </c>
      <c r="D133" s="1">
        <v>0</v>
      </c>
      <c r="E133" s="1">
        <v>0</v>
      </c>
      <c r="F133" s="1"/>
      <c r="G133" s="1">
        <v>0</v>
      </c>
      <c r="H133" s="1"/>
      <c r="I133" s="1"/>
      <c r="J133" s="1"/>
      <c r="K133" s="1"/>
      <c r="L133" s="1"/>
      <c r="M133" s="1"/>
      <c r="N133" s="1"/>
      <c r="O133" s="1">
        <v>3653167</v>
      </c>
      <c r="P133" s="1">
        <v>1</v>
      </c>
    </row>
    <row r="134" spans="1:16" x14ac:dyDescent="0.3">
      <c r="A134" s="1" t="s">
        <v>137</v>
      </c>
      <c r="B134" s="1" t="s">
        <v>4</v>
      </c>
      <c r="C134" s="1" t="s">
        <v>29</v>
      </c>
      <c r="D134" s="1">
        <v>3653162</v>
      </c>
      <c r="E134" s="1">
        <v>935</v>
      </c>
      <c r="F134" s="1">
        <v>640</v>
      </c>
      <c r="G134" s="1">
        <v>315661</v>
      </c>
      <c r="H134" s="1">
        <v>3786.8010353770242</v>
      </c>
      <c r="I134" s="1">
        <v>2337.1963484459911</v>
      </c>
      <c r="J134" s="1">
        <v>57</v>
      </c>
      <c r="K134" s="1">
        <v>1492</v>
      </c>
      <c r="L134" s="1">
        <v>3742</v>
      </c>
      <c r="M134" s="1">
        <v>4963</v>
      </c>
      <c r="N134" s="1">
        <v>15065</v>
      </c>
      <c r="O134" s="1">
        <v>5</v>
      </c>
      <c r="P134" s="1">
        <v>1.3686754533805871E-6</v>
      </c>
    </row>
    <row r="135" spans="1:16" x14ac:dyDescent="0.3">
      <c r="A135" s="1" t="s">
        <v>137</v>
      </c>
      <c r="B135" s="1" t="s">
        <v>4</v>
      </c>
      <c r="C135" s="1" t="s">
        <v>71</v>
      </c>
      <c r="D135" s="1">
        <v>3375936</v>
      </c>
      <c r="E135" s="1">
        <v>203722</v>
      </c>
      <c r="F135" s="1">
        <v>453153</v>
      </c>
      <c r="G135" s="1">
        <v>22132</v>
      </c>
      <c r="H135" s="1">
        <v>383848.94741576852</v>
      </c>
      <c r="I135" s="1">
        <v>116583.1682605291</v>
      </c>
      <c r="J135" s="1">
        <v>1</v>
      </c>
      <c r="K135" s="1">
        <v>423625</v>
      </c>
      <c r="L135" s="1">
        <v>435184</v>
      </c>
      <c r="M135" s="1">
        <v>446241</v>
      </c>
      <c r="N135" s="1">
        <v>456446</v>
      </c>
      <c r="O135" s="1">
        <v>277231</v>
      </c>
      <c r="P135" s="1">
        <v>7.588785292323072E-2</v>
      </c>
    </row>
    <row r="136" spans="1:16" x14ac:dyDescent="0.3">
      <c r="A136" s="1" t="s">
        <v>137</v>
      </c>
      <c r="B136" s="1" t="s">
        <v>4</v>
      </c>
      <c r="C136" s="1" t="s">
        <v>96</v>
      </c>
      <c r="D136" s="1">
        <v>638536</v>
      </c>
      <c r="E136" s="1">
        <v>1714</v>
      </c>
      <c r="F136" s="1">
        <v>462</v>
      </c>
      <c r="G136" s="1">
        <v>10585</v>
      </c>
      <c r="H136" s="1">
        <v>850.1000288159164</v>
      </c>
      <c r="I136" s="1">
        <v>499.21812835891461</v>
      </c>
      <c r="J136" s="1">
        <v>1</v>
      </c>
      <c r="K136" s="1">
        <v>433</v>
      </c>
      <c r="L136" s="1">
        <v>819</v>
      </c>
      <c r="M136" s="1">
        <v>1292</v>
      </c>
      <c r="N136" s="1">
        <v>1720</v>
      </c>
      <c r="O136" s="1">
        <v>3014631</v>
      </c>
      <c r="P136" s="1">
        <v>0.82521029014003466</v>
      </c>
    </row>
    <row r="137" spans="1:16" x14ac:dyDescent="0.3">
      <c r="A137" s="1" t="s">
        <v>137</v>
      </c>
      <c r="B137" s="1" t="s">
        <v>4</v>
      </c>
      <c r="C137" s="1" t="s">
        <v>155</v>
      </c>
      <c r="D137" s="1">
        <v>3653167</v>
      </c>
      <c r="E137" s="1">
        <v>3515</v>
      </c>
      <c r="F137" s="1" t="s">
        <v>156</v>
      </c>
      <c r="G137" s="1">
        <v>220760</v>
      </c>
      <c r="H137" s="1"/>
      <c r="I137" s="1"/>
      <c r="J137" s="1"/>
      <c r="K137" s="1"/>
      <c r="L137" s="1"/>
      <c r="M137" s="1"/>
      <c r="N137" s="1"/>
      <c r="O137" s="1">
        <v>0</v>
      </c>
      <c r="P137" s="1">
        <v>0</v>
      </c>
    </row>
    <row r="138" spans="1:16" x14ac:dyDescent="0.3">
      <c r="A138" s="1" t="s">
        <v>137</v>
      </c>
      <c r="B138" s="1" t="s">
        <v>4</v>
      </c>
      <c r="C138" s="1" t="s">
        <v>157</v>
      </c>
      <c r="D138" s="1">
        <v>3653167</v>
      </c>
      <c r="E138" s="1">
        <v>11128</v>
      </c>
      <c r="F138" s="1" t="s">
        <v>158</v>
      </c>
      <c r="G138" s="1">
        <v>140933</v>
      </c>
      <c r="H138" s="1"/>
      <c r="I138" s="1"/>
      <c r="J138" s="1"/>
      <c r="K138" s="1"/>
      <c r="L138" s="1"/>
      <c r="M138" s="1"/>
      <c r="N138" s="1"/>
      <c r="O138" s="1">
        <v>0</v>
      </c>
      <c r="P138" s="1">
        <v>0</v>
      </c>
    </row>
    <row r="139" spans="1:16" x14ac:dyDescent="0.3">
      <c r="A139" s="1" t="s">
        <v>137</v>
      </c>
      <c r="B139" s="1" t="s">
        <v>4</v>
      </c>
      <c r="C139" s="1" t="s">
        <v>159</v>
      </c>
      <c r="D139" s="1">
        <v>3653147</v>
      </c>
      <c r="E139" s="1">
        <v>7021</v>
      </c>
      <c r="F139" s="1" t="s">
        <v>160</v>
      </c>
      <c r="G139" s="1">
        <v>158886</v>
      </c>
      <c r="H139" s="1"/>
      <c r="I139" s="1"/>
      <c r="J139" s="1"/>
      <c r="K139" s="1"/>
      <c r="L139" s="1"/>
      <c r="M139" s="1"/>
      <c r="N139" s="1"/>
      <c r="O139" s="1">
        <v>20</v>
      </c>
      <c r="P139" s="1">
        <v>5.4747018135223491E-6</v>
      </c>
    </row>
    <row r="140" spans="1:16" x14ac:dyDescent="0.3">
      <c r="A140" s="1" t="s">
        <v>137</v>
      </c>
      <c r="B140" s="1" t="s">
        <v>4</v>
      </c>
      <c r="C140" s="1" t="s">
        <v>161</v>
      </c>
      <c r="D140" s="1">
        <v>0</v>
      </c>
      <c r="E140" s="1">
        <v>0</v>
      </c>
      <c r="F140" s="1"/>
      <c r="G140" s="1">
        <v>0</v>
      </c>
      <c r="H140" s="1"/>
      <c r="I140" s="1"/>
      <c r="J140" s="1"/>
      <c r="K140" s="1"/>
      <c r="L140" s="1"/>
      <c r="M140" s="1"/>
      <c r="N140" s="1"/>
      <c r="O140" s="1">
        <v>3653167</v>
      </c>
      <c r="P140" s="1">
        <v>1</v>
      </c>
    </row>
    <row r="141" spans="1:16" x14ac:dyDescent="0.3">
      <c r="A141" s="1" t="s">
        <v>137</v>
      </c>
      <c r="B141" s="1" t="s">
        <v>4</v>
      </c>
      <c r="C141" s="1" t="s">
        <v>162</v>
      </c>
      <c r="D141" s="1">
        <v>3652455</v>
      </c>
      <c r="E141" s="1">
        <v>37</v>
      </c>
      <c r="F141" s="1" t="s">
        <v>163</v>
      </c>
      <c r="G141" s="1">
        <v>1524349</v>
      </c>
      <c r="H141" s="1"/>
      <c r="I141" s="1"/>
      <c r="J141" s="1"/>
      <c r="K141" s="1"/>
      <c r="L141" s="1"/>
      <c r="M141" s="1"/>
      <c r="N141" s="1"/>
      <c r="O141" s="1">
        <v>712</v>
      </c>
      <c r="P141" s="1">
        <v>1.9489938456139559E-4</v>
      </c>
    </row>
    <row r="142" spans="1:16" x14ac:dyDescent="0.3">
      <c r="A142" s="1" t="s">
        <v>137</v>
      </c>
      <c r="B142" s="1" t="s">
        <v>4</v>
      </c>
      <c r="C142" s="1" t="s">
        <v>164</v>
      </c>
      <c r="D142" s="1">
        <v>3653167</v>
      </c>
      <c r="E142" s="1">
        <v>1</v>
      </c>
      <c r="F142" s="1" t="s">
        <v>165</v>
      </c>
      <c r="G142" s="1">
        <v>3653167</v>
      </c>
      <c r="H142" s="1"/>
      <c r="I142" s="1"/>
      <c r="J142" s="1"/>
      <c r="K142" s="1"/>
      <c r="L142" s="1"/>
      <c r="M142" s="1"/>
      <c r="N142" s="1"/>
      <c r="O142" s="1">
        <v>0</v>
      </c>
      <c r="P142" s="1">
        <v>0</v>
      </c>
    </row>
    <row r="143" spans="1:16" x14ac:dyDescent="0.3">
      <c r="A143" s="1" t="s">
        <v>137</v>
      </c>
      <c r="B143" s="1" t="s">
        <v>4</v>
      </c>
      <c r="C143" s="1" t="s">
        <v>89</v>
      </c>
      <c r="D143" s="1">
        <v>3653167</v>
      </c>
      <c r="E143" s="1">
        <v>207839</v>
      </c>
      <c r="F143" s="1" t="s">
        <v>166</v>
      </c>
      <c r="G143" s="1">
        <v>22132</v>
      </c>
      <c r="H143" s="1"/>
      <c r="I143" s="1"/>
      <c r="J143" s="1"/>
      <c r="K143" s="1"/>
      <c r="L143" s="1"/>
      <c r="M143" s="1"/>
      <c r="N143" s="1"/>
      <c r="O143" s="1">
        <v>0</v>
      </c>
      <c r="P143" s="1">
        <v>0</v>
      </c>
    </row>
    <row r="144" spans="1:16" x14ac:dyDescent="0.3">
      <c r="A144" s="1" t="s">
        <v>137</v>
      </c>
      <c r="B144" s="1" t="s">
        <v>4</v>
      </c>
      <c r="C144" s="1" t="s">
        <v>134</v>
      </c>
      <c r="D144" s="1">
        <v>3653167</v>
      </c>
      <c r="E144" s="1">
        <v>3</v>
      </c>
      <c r="F144" s="1" t="s">
        <v>167</v>
      </c>
      <c r="G144" s="1">
        <v>2656400</v>
      </c>
      <c r="H144" s="1"/>
      <c r="I144" s="1"/>
      <c r="J144" s="1"/>
      <c r="K144" s="1"/>
      <c r="L144" s="1"/>
      <c r="M144" s="1"/>
      <c r="N144" s="1"/>
      <c r="O144" s="1">
        <v>0</v>
      </c>
      <c r="P144" s="1">
        <v>0</v>
      </c>
    </row>
    <row r="145" spans="1:16" x14ac:dyDescent="0.3">
      <c r="A145" s="1" t="s">
        <v>137</v>
      </c>
      <c r="B145" s="1" t="s">
        <v>4</v>
      </c>
      <c r="C145" s="1" t="s">
        <v>91</v>
      </c>
      <c r="D145" s="1">
        <v>3653167</v>
      </c>
      <c r="E145" s="1">
        <v>50</v>
      </c>
      <c r="F145" s="1" t="s">
        <v>92</v>
      </c>
      <c r="G145" s="1">
        <v>704508</v>
      </c>
      <c r="H145" s="1"/>
      <c r="I145" s="1"/>
      <c r="J145" s="1"/>
      <c r="K145" s="1"/>
      <c r="L145" s="1"/>
      <c r="M145" s="1"/>
      <c r="N145" s="1"/>
      <c r="O145" s="1">
        <v>0</v>
      </c>
      <c r="P145" s="1">
        <v>0</v>
      </c>
    </row>
    <row r="146" spans="1:16" x14ac:dyDescent="0.3">
      <c r="A146" s="1" t="s">
        <v>137</v>
      </c>
      <c r="B146" s="1" t="s">
        <v>4</v>
      </c>
      <c r="C146" s="1" t="s">
        <v>93</v>
      </c>
      <c r="D146" s="1">
        <v>3653167</v>
      </c>
      <c r="E146" s="1">
        <v>50</v>
      </c>
      <c r="F146" s="1" t="s">
        <v>94</v>
      </c>
      <c r="G146" s="1">
        <v>704508</v>
      </c>
      <c r="H146" s="1"/>
      <c r="I146" s="1"/>
      <c r="J146" s="1"/>
      <c r="K146" s="1"/>
      <c r="L146" s="1"/>
      <c r="M146" s="1"/>
      <c r="N146" s="1"/>
      <c r="O146" s="1">
        <v>0</v>
      </c>
      <c r="P146" s="1">
        <v>0</v>
      </c>
    </row>
    <row r="147" spans="1:16" x14ac:dyDescent="0.3">
      <c r="A147" s="1" t="s">
        <v>137</v>
      </c>
      <c r="B147" s="1" t="s">
        <v>4</v>
      </c>
      <c r="C147" s="1" t="s">
        <v>168</v>
      </c>
      <c r="D147" s="1">
        <v>3653167</v>
      </c>
      <c r="E147" s="1">
        <v>105</v>
      </c>
      <c r="F147" s="1">
        <v>74</v>
      </c>
      <c r="G147" s="1">
        <v>106778</v>
      </c>
      <c r="H147" s="1">
        <v>62.279560994610968</v>
      </c>
      <c r="I147" s="1">
        <v>19.968685708982349</v>
      </c>
      <c r="J147" s="1">
        <v>0</v>
      </c>
      <c r="K147" s="1">
        <v>55</v>
      </c>
      <c r="L147" s="1">
        <v>67</v>
      </c>
      <c r="M147" s="1">
        <v>76</v>
      </c>
      <c r="N147" s="1">
        <v>104</v>
      </c>
      <c r="O147" s="1">
        <v>0</v>
      </c>
      <c r="P147" s="1">
        <v>0</v>
      </c>
    </row>
    <row r="148" spans="1:16" x14ac:dyDescent="0.3">
      <c r="A148" s="1" t="s">
        <v>137</v>
      </c>
      <c r="B148" s="1" t="s">
        <v>4</v>
      </c>
      <c r="C148" s="1" t="s">
        <v>169</v>
      </c>
      <c r="D148" s="1">
        <v>3653167</v>
      </c>
      <c r="E148" s="1">
        <v>437</v>
      </c>
      <c r="F148" s="1">
        <v>1</v>
      </c>
      <c r="G148" s="1">
        <v>2949773</v>
      </c>
      <c r="H148" s="1">
        <v>5.5556367481968447</v>
      </c>
      <c r="I148" s="1">
        <v>160.52217443742859</v>
      </c>
      <c r="J148" s="1">
        <v>0</v>
      </c>
      <c r="K148" s="1">
        <v>1</v>
      </c>
      <c r="L148" s="1">
        <v>1</v>
      </c>
      <c r="M148" s="1">
        <v>1</v>
      </c>
      <c r="N148" s="1">
        <v>100000</v>
      </c>
      <c r="O148" s="1">
        <v>0</v>
      </c>
      <c r="P148" s="1">
        <v>0</v>
      </c>
    </row>
    <row r="149" spans="1:16" x14ac:dyDescent="0.3">
      <c r="A149" s="1" t="s">
        <v>137</v>
      </c>
      <c r="B149" s="1" t="s">
        <v>4</v>
      </c>
      <c r="C149" s="1" t="s">
        <v>170</v>
      </c>
      <c r="D149" s="1">
        <v>3652455</v>
      </c>
      <c r="E149" s="1">
        <v>37</v>
      </c>
      <c r="F149" s="1" t="s">
        <v>163</v>
      </c>
      <c r="G149" s="1">
        <v>1524349</v>
      </c>
      <c r="H149" s="1"/>
      <c r="I149" s="1"/>
      <c r="J149" s="1"/>
      <c r="K149" s="1"/>
      <c r="L149" s="1"/>
      <c r="M149" s="1"/>
      <c r="N149" s="1"/>
      <c r="O149" s="1">
        <v>712</v>
      </c>
      <c r="P149" s="1">
        <v>1.9489938456139559E-4</v>
      </c>
    </row>
    <row r="150" spans="1:16" x14ac:dyDescent="0.3">
      <c r="A150" s="1" t="s">
        <v>137</v>
      </c>
      <c r="B150" s="1" t="s">
        <v>4</v>
      </c>
      <c r="C150" s="1" t="s">
        <v>171</v>
      </c>
      <c r="D150" s="1">
        <v>3653167</v>
      </c>
      <c r="E150" s="1">
        <v>25</v>
      </c>
      <c r="F150" s="1">
        <v>1</v>
      </c>
      <c r="G150" s="1">
        <v>2289812</v>
      </c>
      <c r="H150" s="1">
        <v>1.520419679691621</v>
      </c>
      <c r="I150" s="1">
        <v>0.76401471345093064</v>
      </c>
      <c r="J150" s="1">
        <v>1</v>
      </c>
      <c r="K150" s="1">
        <v>1</v>
      </c>
      <c r="L150" s="1">
        <v>1</v>
      </c>
      <c r="M150" s="1">
        <v>2</v>
      </c>
      <c r="N150" s="1">
        <v>50</v>
      </c>
      <c r="O150" s="1">
        <v>0</v>
      </c>
      <c r="P150" s="1">
        <v>0</v>
      </c>
    </row>
    <row r="151" spans="1:16" x14ac:dyDescent="0.3">
      <c r="A151" s="1" t="s">
        <v>137</v>
      </c>
      <c r="B151" s="1" t="s">
        <v>4</v>
      </c>
      <c r="C151" s="1" t="s">
        <v>172</v>
      </c>
      <c r="D151" s="1">
        <v>3653167</v>
      </c>
      <c r="E151" s="1">
        <v>187</v>
      </c>
      <c r="F151" s="1">
        <v>1</v>
      </c>
      <c r="G151" s="1">
        <v>2827324</v>
      </c>
      <c r="H151" s="1">
        <v>9.5029759110382859</v>
      </c>
      <c r="I151" s="1">
        <v>22.276147889246531</v>
      </c>
      <c r="J151" s="1">
        <v>-30</v>
      </c>
      <c r="K151" s="1">
        <v>1</v>
      </c>
      <c r="L151" s="1">
        <v>1</v>
      </c>
      <c r="M151" s="1">
        <v>1</v>
      </c>
      <c r="N151" s="1">
        <v>180</v>
      </c>
      <c r="O151" s="1">
        <v>0</v>
      </c>
      <c r="P151" s="1">
        <v>0</v>
      </c>
    </row>
    <row r="152" spans="1:16" x14ac:dyDescent="0.3">
      <c r="A152" s="1" t="s">
        <v>137</v>
      </c>
      <c r="B152" s="1" t="s">
        <v>4</v>
      </c>
      <c r="C152" s="1" t="s">
        <v>173</v>
      </c>
      <c r="D152" s="1">
        <v>3653158</v>
      </c>
      <c r="E152" s="1">
        <v>189</v>
      </c>
      <c r="F152" s="1" t="s">
        <v>174</v>
      </c>
      <c r="G152" s="1">
        <v>1096347</v>
      </c>
      <c r="H152" s="1"/>
      <c r="I152" s="1"/>
      <c r="J152" s="1"/>
      <c r="K152" s="1"/>
      <c r="L152" s="1"/>
      <c r="M152" s="1"/>
      <c r="N152" s="1"/>
      <c r="O152" s="1">
        <v>9</v>
      </c>
      <c r="P152" s="1">
        <v>2.4636158160850571E-6</v>
      </c>
    </row>
    <row r="153" spans="1:16" x14ac:dyDescent="0.3">
      <c r="A153" s="1" t="s">
        <v>137</v>
      </c>
      <c r="B153" s="1" t="s">
        <v>4</v>
      </c>
      <c r="C153" s="1" t="s">
        <v>175</v>
      </c>
      <c r="D153" s="1">
        <v>3653167</v>
      </c>
      <c r="E153" s="1">
        <v>443</v>
      </c>
      <c r="F153" s="1">
        <v>1</v>
      </c>
      <c r="G153" s="1">
        <v>262384</v>
      </c>
      <c r="H153" s="1">
        <v>15.255098110762519</v>
      </c>
      <c r="I153" s="1">
        <v>18.662475031957669</v>
      </c>
      <c r="J153" s="1">
        <v>1</v>
      </c>
      <c r="K153" s="1">
        <v>4</v>
      </c>
      <c r="L153" s="1">
        <v>10</v>
      </c>
      <c r="M153" s="1">
        <v>20</v>
      </c>
      <c r="N153" s="1">
        <v>672</v>
      </c>
      <c r="O153" s="1">
        <v>0</v>
      </c>
      <c r="P153" s="1">
        <v>0</v>
      </c>
    </row>
    <row r="154" spans="1:16" x14ac:dyDescent="0.3">
      <c r="A154" s="1" t="s">
        <v>137</v>
      </c>
      <c r="B154" s="1" t="s">
        <v>4</v>
      </c>
      <c r="C154" s="1" t="s">
        <v>176</v>
      </c>
      <c r="D154" s="1">
        <v>3047967</v>
      </c>
      <c r="E154" s="1">
        <v>1279</v>
      </c>
      <c r="F154" s="1" t="s">
        <v>177</v>
      </c>
      <c r="G154" s="1">
        <v>451880</v>
      </c>
      <c r="H154" s="1"/>
      <c r="I154" s="1"/>
      <c r="J154" s="1"/>
      <c r="K154" s="1"/>
      <c r="L154" s="1"/>
      <c r="M154" s="1"/>
      <c r="N154" s="1"/>
      <c r="O154" s="1">
        <v>605200</v>
      </c>
      <c r="P154" s="1">
        <v>0.1656644768771863</v>
      </c>
    </row>
    <row r="155" spans="1:16" x14ac:dyDescent="0.3">
      <c r="A155" s="1" t="s">
        <v>137</v>
      </c>
      <c r="B155" s="1" t="s">
        <v>4</v>
      </c>
      <c r="C155" s="1" t="s">
        <v>178</v>
      </c>
      <c r="D155" s="1">
        <v>3047967</v>
      </c>
      <c r="E155" s="1">
        <v>1215</v>
      </c>
      <c r="F155" s="1" t="s">
        <v>179</v>
      </c>
      <c r="G155" s="1">
        <v>453750</v>
      </c>
      <c r="H155" s="1"/>
      <c r="I155" s="1"/>
      <c r="J155" s="1"/>
      <c r="K155" s="1"/>
      <c r="L155" s="1"/>
      <c r="M155" s="1"/>
      <c r="N155" s="1"/>
      <c r="O155" s="1">
        <v>605200</v>
      </c>
      <c r="P155" s="1">
        <v>0.1656644768771863</v>
      </c>
    </row>
    <row r="156" spans="1:16" x14ac:dyDescent="0.3">
      <c r="A156" s="1" t="s">
        <v>180</v>
      </c>
      <c r="B156" s="1" t="s">
        <v>181</v>
      </c>
      <c r="C156" s="1" t="s">
        <v>182</v>
      </c>
      <c r="D156" s="1">
        <v>13568812</v>
      </c>
      <c r="E156" s="1">
        <v>13568812</v>
      </c>
      <c r="F156" s="1">
        <v>1</v>
      </c>
      <c r="G156" s="1">
        <v>1</v>
      </c>
      <c r="H156" s="1">
        <v>6784406.5</v>
      </c>
      <c r="I156" s="1">
        <v>3916978.7747293198</v>
      </c>
      <c r="J156" s="1">
        <v>1</v>
      </c>
      <c r="K156" s="1">
        <v>3392203.75</v>
      </c>
      <c r="L156" s="1">
        <v>6784406.5</v>
      </c>
      <c r="M156" s="1">
        <v>10176609.25</v>
      </c>
      <c r="N156" s="1">
        <v>13568812</v>
      </c>
      <c r="O156" s="1">
        <v>0</v>
      </c>
      <c r="P156" s="1">
        <v>0</v>
      </c>
    </row>
    <row r="157" spans="1:16" x14ac:dyDescent="0.3">
      <c r="A157" s="1" t="s">
        <v>180</v>
      </c>
      <c r="B157" s="1" t="s">
        <v>181</v>
      </c>
      <c r="C157" s="1" t="s">
        <v>51</v>
      </c>
      <c r="D157" s="1">
        <v>13568812</v>
      </c>
      <c r="E157" s="1">
        <v>6133</v>
      </c>
      <c r="F157" s="1">
        <v>5611</v>
      </c>
      <c r="G157" s="1">
        <v>132527</v>
      </c>
      <c r="H157" s="1">
        <v>3188.65294109757</v>
      </c>
      <c r="I157" s="1">
        <v>1791.2804571402689</v>
      </c>
      <c r="J157" s="1">
        <v>1</v>
      </c>
      <c r="K157" s="1">
        <v>1563</v>
      </c>
      <c r="L157" s="1">
        <v>3259</v>
      </c>
      <c r="M157" s="1">
        <v>4750</v>
      </c>
      <c r="N157" s="1">
        <v>6147</v>
      </c>
      <c r="O157" s="1">
        <v>0</v>
      </c>
      <c r="P157" s="1">
        <v>0</v>
      </c>
    </row>
    <row r="158" spans="1:16" x14ac:dyDescent="0.3">
      <c r="A158" s="1" t="s">
        <v>180</v>
      </c>
      <c r="B158" s="1" t="s">
        <v>181</v>
      </c>
      <c r="C158" s="1" t="s">
        <v>59</v>
      </c>
      <c r="D158" s="1">
        <v>13568812</v>
      </c>
      <c r="E158" s="1">
        <v>5436</v>
      </c>
      <c r="F158" s="1" t="s">
        <v>183</v>
      </c>
      <c r="G158" s="1">
        <v>132527</v>
      </c>
      <c r="H158" s="1"/>
      <c r="I158" s="1"/>
      <c r="J158" s="1"/>
      <c r="K158" s="1"/>
      <c r="L158" s="1"/>
      <c r="M158" s="1"/>
      <c r="N158" s="1"/>
      <c r="O158" s="1">
        <v>0</v>
      </c>
      <c r="P158" s="1">
        <v>0</v>
      </c>
    </row>
    <row r="159" spans="1:16" x14ac:dyDescent="0.3">
      <c r="A159" s="1" t="s">
        <v>180</v>
      </c>
      <c r="B159" s="1" t="s">
        <v>181</v>
      </c>
      <c r="C159" s="1" t="s">
        <v>184</v>
      </c>
      <c r="D159" s="1">
        <v>8754340</v>
      </c>
      <c r="E159" s="1">
        <v>772</v>
      </c>
      <c r="F159" s="1">
        <v>4224504</v>
      </c>
      <c r="G159" s="1">
        <v>724849</v>
      </c>
      <c r="H159" s="1">
        <v>19726288.059673831</v>
      </c>
      <c r="I159" s="1">
        <v>18609907.883650851</v>
      </c>
      <c r="J159" s="1">
        <v>4020553</v>
      </c>
      <c r="K159" s="1">
        <v>4154790</v>
      </c>
      <c r="L159" s="1">
        <v>4302666</v>
      </c>
      <c r="M159" s="1">
        <v>42338613</v>
      </c>
      <c r="N159" s="1">
        <v>42396877</v>
      </c>
      <c r="O159" s="1">
        <v>4814472</v>
      </c>
      <c r="P159" s="1">
        <v>0.35481897751991848</v>
      </c>
    </row>
    <row r="160" spans="1:16" x14ac:dyDescent="0.3">
      <c r="A160" s="1" t="s">
        <v>180</v>
      </c>
      <c r="B160" s="1" t="s">
        <v>181</v>
      </c>
      <c r="C160" s="1" t="s">
        <v>185</v>
      </c>
      <c r="D160" s="1">
        <v>13568812</v>
      </c>
      <c r="E160" s="1">
        <v>9261</v>
      </c>
      <c r="F160" s="7">
        <v>44641</v>
      </c>
      <c r="G160" s="1">
        <v>18898</v>
      </c>
      <c r="H160" s="7">
        <v>43763.605576967588</v>
      </c>
      <c r="I160" s="1"/>
      <c r="J160" s="7">
        <v>35916</v>
      </c>
      <c r="K160" s="7">
        <v>43165</v>
      </c>
      <c r="L160" s="7">
        <v>44470</v>
      </c>
      <c r="M160" s="7">
        <v>44876</v>
      </c>
      <c r="N160" s="7">
        <v>45371</v>
      </c>
      <c r="O160" s="1">
        <v>0</v>
      </c>
      <c r="P160" s="1">
        <v>0</v>
      </c>
    </row>
    <row r="161" spans="1:16" x14ac:dyDescent="0.3">
      <c r="A161" s="1" t="s">
        <v>180</v>
      </c>
      <c r="B161" s="1" t="s">
        <v>181</v>
      </c>
      <c r="C161" s="1" t="s">
        <v>186</v>
      </c>
      <c r="D161" s="1">
        <v>13568812</v>
      </c>
      <c r="E161" s="1">
        <v>964445</v>
      </c>
      <c r="F161" s="7">
        <v>40119</v>
      </c>
      <c r="G161" s="1">
        <v>1662</v>
      </c>
      <c r="H161" s="7">
        <v>43764.046903159717</v>
      </c>
      <c r="I161" s="1"/>
      <c r="J161" s="7">
        <v>35916</v>
      </c>
      <c r="K161" s="7">
        <v>43165.541666666657</v>
      </c>
      <c r="L161" s="7">
        <v>44470.711805555547</v>
      </c>
      <c r="M161" s="7">
        <v>44876.416666666657</v>
      </c>
      <c r="N161" s="7">
        <v>45371.554166666669</v>
      </c>
      <c r="O161" s="1">
        <v>0</v>
      </c>
      <c r="P161" s="1">
        <v>0</v>
      </c>
    </row>
    <row r="162" spans="1:16" x14ac:dyDescent="0.3">
      <c r="A162" s="1" t="s">
        <v>180</v>
      </c>
      <c r="B162" s="1" t="s">
        <v>181</v>
      </c>
      <c r="C162" s="1" t="s">
        <v>187</v>
      </c>
      <c r="D162" s="1">
        <v>13568812</v>
      </c>
      <c r="E162" s="1">
        <v>1440</v>
      </c>
      <c r="F162" s="1" t="s">
        <v>188</v>
      </c>
      <c r="G162" s="1">
        <v>1137842</v>
      </c>
      <c r="H162" s="1"/>
      <c r="I162" s="1"/>
      <c r="J162" s="1"/>
      <c r="K162" s="1"/>
      <c r="L162" s="1"/>
      <c r="M162" s="1"/>
      <c r="N162" s="1"/>
      <c r="O162" s="1">
        <v>0</v>
      </c>
      <c r="P162" s="1">
        <v>0</v>
      </c>
    </row>
    <row r="163" spans="1:16" x14ac:dyDescent="0.3">
      <c r="A163" s="1" t="s">
        <v>180</v>
      </c>
      <c r="B163" s="1" t="s">
        <v>181</v>
      </c>
      <c r="C163" s="1" t="s">
        <v>189</v>
      </c>
      <c r="D163" s="1">
        <v>13568812</v>
      </c>
      <c r="E163" s="1">
        <v>1</v>
      </c>
      <c r="F163" s="1">
        <v>44818702</v>
      </c>
      <c r="G163" s="1">
        <v>13568812</v>
      </c>
      <c r="H163" s="1">
        <v>44818702</v>
      </c>
      <c r="I163" s="1">
        <v>0</v>
      </c>
      <c r="J163" s="1">
        <v>44818702</v>
      </c>
      <c r="K163" s="1">
        <v>44818702</v>
      </c>
      <c r="L163" s="1">
        <v>44818702</v>
      </c>
      <c r="M163" s="1">
        <v>44818702</v>
      </c>
      <c r="N163" s="1">
        <v>44818702</v>
      </c>
      <c r="O163" s="1">
        <v>0</v>
      </c>
      <c r="P163" s="1">
        <v>0</v>
      </c>
    </row>
    <row r="164" spans="1:16" x14ac:dyDescent="0.3">
      <c r="A164" s="1" t="s">
        <v>180</v>
      </c>
      <c r="B164" s="1" t="s">
        <v>181</v>
      </c>
      <c r="C164" s="1" t="s">
        <v>190</v>
      </c>
      <c r="D164" s="1">
        <v>13568812</v>
      </c>
      <c r="E164" s="1">
        <v>1</v>
      </c>
      <c r="F164" s="1" t="s">
        <v>191</v>
      </c>
      <c r="G164" s="1">
        <v>13568812</v>
      </c>
      <c r="H164" s="1"/>
      <c r="I164" s="1"/>
      <c r="J164" s="1"/>
      <c r="K164" s="1"/>
      <c r="L164" s="1"/>
      <c r="M164" s="1"/>
      <c r="N164" s="1"/>
      <c r="O164" s="1">
        <v>0</v>
      </c>
      <c r="P164" s="1">
        <v>0</v>
      </c>
    </row>
    <row r="165" spans="1:16" x14ac:dyDescent="0.3">
      <c r="A165" s="1" t="s">
        <v>180</v>
      </c>
      <c r="B165" s="1" t="s">
        <v>181</v>
      </c>
      <c r="C165" s="1" t="s">
        <v>192</v>
      </c>
      <c r="D165" s="1">
        <v>13568812</v>
      </c>
      <c r="E165" s="1">
        <v>1</v>
      </c>
      <c r="F165" s="1">
        <v>0</v>
      </c>
      <c r="G165" s="1">
        <v>13568812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 x14ac:dyDescent="0.3">
      <c r="A166" s="1" t="s">
        <v>180</v>
      </c>
      <c r="B166" s="1" t="s">
        <v>181</v>
      </c>
      <c r="C166" s="1" t="s">
        <v>193</v>
      </c>
      <c r="D166" s="1">
        <v>0</v>
      </c>
      <c r="E166" s="1">
        <v>0</v>
      </c>
      <c r="F166" s="1"/>
      <c r="G166" s="1">
        <v>0</v>
      </c>
      <c r="H166" s="1"/>
      <c r="I166" s="1"/>
      <c r="J166" s="1"/>
      <c r="K166" s="1"/>
      <c r="L166" s="1"/>
      <c r="M166" s="1"/>
      <c r="N166" s="1"/>
      <c r="O166" s="1">
        <v>13568812</v>
      </c>
      <c r="P166" s="1">
        <v>1</v>
      </c>
    </row>
    <row r="167" spans="1:16" x14ac:dyDescent="0.3">
      <c r="A167" s="1" t="s">
        <v>180</v>
      </c>
      <c r="B167" s="1" t="s">
        <v>181</v>
      </c>
      <c r="C167" s="1" t="s">
        <v>194</v>
      </c>
      <c r="D167" s="1">
        <v>13004554</v>
      </c>
      <c r="E167" s="1">
        <v>40769</v>
      </c>
      <c r="F167" s="1">
        <v>20</v>
      </c>
      <c r="G167" s="1">
        <v>438915</v>
      </c>
      <c r="H167" s="1">
        <v>9293285.6617342867</v>
      </c>
      <c r="I167" s="1">
        <v>13673875190.780741</v>
      </c>
      <c r="J167" s="1">
        <v>-14253.05</v>
      </c>
      <c r="K167" s="1">
        <v>8.9</v>
      </c>
      <c r="L167" s="1">
        <v>36.4</v>
      </c>
      <c r="M167" s="1">
        <v>92</v>
      </c>
      <c r="N167" s="1">
        <v>20130919154538</v>
      </c>
      <c r="O167" s="1">
        <v>564258</v>
      </c>
      <c r="P167" s="1">
        <v>4.1584922836280729E-2</v>
      </c>
    </row>
    <row r="168" spans="1:16" x14ac:dyDescent="0.3">
      <c r="A168" s="1" t="s">
        <v>180</v>
      </c>
      <c r="B168" s="1" t="s">
        <v>181</v>
      </c>
      <c r="C168" s="1" t="s">
        <v>195</v>
      </c>
      <c r="D168" s="1">
        <v>13568812</v>
      </c>
      <c r="E168" s="1">
        <v>7</v>
      </c>
      <c r="F168" s="1">
        <v>0</v>
      </c>
      <c r="G168" s="1">
        <v>13403681</v>
      </c>
      <c r="H168" s="1">
        <v>20411.408685520881</v>
      </c>
      <c r="I168" s="1">
        <v>288935.7159964547</v>
      </c>
      <c r="J168" s="1">
        <v>0</v>
      </c>
      <c r="K168" s="1">
        <v>0</v>
      </c>
      <c r="L168" s="1">
        <v>0</v>
      </c>
      <c r="M168" s="1">
        <v>0</v>
      </c>
      <c r="N168" s="1">
        <v>4126674</v>
      </c>
      <c r="O168" s="1">
        <v>0</v>
      </c>
      <c r="P168" s="1">
        <v>0</v>
      </c>
    </row>
    <row r="169" spans="1:16" x14ac:dyDescent="0.3">
      <c r="A169" s="1" t="s">
        <v>180</v>
      </c>
      <c r="B169" s="1" t="s">
        <v>181</v>
      </c>
      <c r="C169" s="1" t="s">
        <v>196</v>
      </c>
      <c r="D169" s="1">
        <v>165131</v>
      </c>
      <c r="E169" s="1">
        <v>6</v>
      </c>
      <c r="F169" s="1" t="s">
        <v>197</v>
      </c>
      <c r="G169" s="1">
        <v>81069</v>
      </c>
      <c r="H169" s="1"/>
      <c r="I169" s="1"/>
      <c r="J169" s="1"/>
      <c r="K169" s="1"/>
      <c r="L169" s="1"/>
      <c r="M169" s="1"/>
      <c r="N169" s="1"/>
      <c r="O169" s="1">
        <v>13403681</v>
      </c>
      <c r="P169" s="1">
        <v>0.98783010627606893</v>
      </c>
    </row>
    <row r="170" spans="1:16" x14ac:dyDescent="0.3">
      <c r="A170" s="1" t="s">
        <v>180</v>
      </c>
      <c r="B170" s="1" t="s">
        <v>181</v>
      </c>
      <c r="C170" s="1" t="s">
        <v>198</v>
      </c>
      <c r="D170" s="1">
        <v>12639671</v>
      </c>
      <c r="E170" s="1">
        <v>69</v>
      </c>
      <c r="F170" s="1">
        <v>8554</v>
      </c>
      <c r="G170" s="1">
        <v>1537379</v>
      </c>
      <c r="H170" s="1">
        <v>744533.5311661989</v>
      </c>
      <c r="I170" s="1">
        <v>1541833.3432431079</v>
      </c>
      <c r="J170" s="1">
        <v>8482</v>
      </c>
      <c r="K170" s="1">
        <v>8583</v>
      </c>
      <c r="L170" s="1">
        <v>8840</v>
      </c>
      <c r="M170" s="1">
        <v>9531</v>
      </c>
      <c r="N170" s="1">
        <v>44777652</v>
      </c>
      <c r="O170" s="1">
        <v>929141</v>
      </c>
      <c r="P170" s="1">
        <v>6.8476223268477743E-2</v>
      </c>
    </row>
    <row r="171" spans="1:16" x14ac:dyDescent="0.3">
      <c r="A171" s="1" t="s">
        <v>180</v>
      </c>
      <c r="B171" s="1" t="s">
        <v>181</v>
      </c>
      <c r="C171" s="1" t="s">
        <v>199</v>
      </c>
      <c r="D171" s="1">
        <v>12639671</v>
      </c>
      <c r="E171" s="1">
        <v>70</v>
      </c>
      <c r="F171" s="1" t="s">
        <v>200</v>
      </c>
      <c r="G171" s="1">
        <v>1440189</v>
      </c>
      <c r="H171" s="1"/>
      <c r="I171" s="1"/>
      <c r="J171" s="1"/>
      <c r="K171" s="1"/>
      <c r="L171" s="1"/>
      <c r="M171" s="1"/>
      <c r="N171" s="1"/>
      <c r="O171" s="1">
        <v>929141</v>
      </c>
      <c r="P171" s="1">
        <v>6.8476223268477743E-2</v>
      </c>
    </row>
    <row r="172" spans="1:16" x14ac:dyDescent="0.3">
      <c r="A172" s="1" t="s">
        <v>180</v>
      </c>
      <c r="B172" s="1" t="s">
        <v>181</v>
      </c>
      <c r="C172" s="1" t="s">
        <v>201</v>
      </c>
      <c r="D172" s="1">
        <v>5510311</v>
      </c>
      <c r="E172" s="1">
        <v>253</v>
      </c>
      <c r="F172" s="1">
        <v>0</v>
      </c>
      <c r="G172" s="1">
        <v>629284</v>
      </c>
      <c r="H172" s="1">
        <v>28.660498796528898</v>
      </c>
      <c r="I172" s="1">
        <v>46.398786226247722</v>
      </c>
      <c r="J172" s="1">
        <v>0</v>
      </c>
      <c r="K172" s="1">
        <v>1.8</v>
      </c>
      <c r="L172" s="1">
        <v>7.4</v>
      </c>
      <c r="M172" s="1">
        <v>35</v>
      </c>
      <c r="N172" s="1">
        <v>3400</v>
      </c>
      <c r="O172" s="1">
        <v>8058501</v>
      </c>
      <c r="P172" s="1">
        <v>0.59389878789683281</v>
      </c>
    </row>
    <row r="173" spans="1:16" x14ac:dyDescent="0.3">
      <c r="A173" s="1" t="s">
        <v>180</v>
      </c>
      <c r="B173" s="1" t="s">
        <v>181</v>
      </c>
      <c r="C173" s="1" t="s">
        <v>202</v>
      </c>
      <c r="D173" s="1">
        <v>6014309</v>
      </c>
      <c r="E173" s="1">
        <v>351</v>
      </c>
      <c r="F173" s="1">
        <v>5</v>
      </c>
      <c r="G173" s="1">
        <v>210996</v>
      </c>
      <c r="H173" s="1">
        <v>51.496562362193252</v>
      </c>
      <c r="I173" s="1">
        <v>98.854373305144279</v>
      </c>
      <c r="J173" s="1">
        <v>0</v>
      </c>
      <c r="K173" s="1">
        <v>5</v>
      </c>
      <c r="L173" s="1">
        <v>10.8</v>
      </c>
      <c r="M173" s="1">
        <v>48</v>
      </c>
      <c r="N173" s="1">
        <v>14200</v>
      </c>
      <c r="O173" s="1">
        <v>7554503</v>
      </c>
      <c r="P173" s="1">
        <v>0.55675493182453994</v>
      </c>
    </row>
    <row r="174" spans="1:16" x14ac:dyDescent="0.3">
      <c r="A174" s="1" t="s">
        <v>180</v>
      </c>
      <c r="B174" s="1" t="s">
        <v>181</v>
      </c>
      <c r="C174" s="1" t="s">
        <v>29</v>
      </c>
      <c r="D174" s="1">
        <v>7749385</v>
      </c>
      <c r="E174" s="1">
        <v>1960</v>
      </c>
      <c r="F174" s="1">
        <v>640</v>
      </c>
      <c r="G174" s="1">
        <v>172286</v>
      </c>
      <c r="H174" s="1">
        <v>7787.6991678694503</v>
      </c>
      <c r="I174" s="1">
        <v>3879.3512942532839</v>
      </c>
      <c r="J174" s="1">
        <v>1</v>
      </c>
      <c r="K174" s="1">
        <v>4703</v>
      </c>
      <c r="L174" s="1">
        <v>8802</v>
      </c>
      <c r="M174" s="1">
        <v>10585</v>
      </c>
      <c r="N174" s="1">
        <v>15070</v>
      </c>
      <c r="O174" s="1">
        <v>5819427</v>
      </c>
      <c r="P174" s="1">
        <v>0.42888257277055652</v>
      </c>
    </row>
    <row r="175" spans="1:16" x14ac:dyDescent="0.3">
      <c r="A175" s="1" t="s">
        <v>180</v>
      </c>
      <c r="B175" s="1" t="s">
        <v>181</v>
      </c>
      <c r="C175" s="1" t="s">
        <v>30</v>
      </c>
      <c r="D175" s="1">
        <v>7749385</v>
      </c>
      <c r="E175" s="1">
        <v>1916</v>
      </c>
      <c r="F175" s="1" t="s">
        <v>203</v>
      </c>
      <c r="G175" s="1">
        <v>172532</v>
      </c>
      <c r="H175" s="1"/>
      <c r="I175" s="1"/>
      <c r="J175" s="1"/>
      <c r="K175" s="1"/>
      <c r="L175" s="1"/>
      <c r="M175" s="1"/>
      <c r="N175" s="1"/>
      <c r="O175" s="1">
        <v>5819427</v>
      </c>
      <c r="P175" s="1">
        <v>0.42888257277055652</v>
      </c>
    </row>
    <row r="176" spans="1:16" x14ac:dyDescent="0.3">
      <c r="A176" s="1" t="s">
        <v>180</v>
      </c>
      <c r="B176" s="1" t="s">
        <v>181</v>
      </c>
      <c r="C176" s="1" t="s">
        <v>71</v>
      </c>
      <c r="D176" s="1">
        <v>12352057</v>
      </c>
      <c r="E176" s="1">
        <v>102095</v>
      </c>
      <c r="F176" s="1">
        <v>453153</v>
      </c>
      <c r="G176" s="1">
        <v>129944</v>
      </c>
      <c r="H176" s="1">
        <v>409739.00245821412</v>
      </c>
      <c r="I176" s="1">
        <v>90239.542386341447</v>
      </c>
      <c r="J176" s="1">
        <v>2</v>
      </c>
      <c r="K176" s="1">
        <v>427792</v>
      </c>
      <c r="L176" s="1">
        <v>437536</v>
      </c>
      <c r="M176" s="1">
        <v>447381</v>
      </c>
      <c r="N176" s="1">
        <v>456446</v>
      </c>
      <c r="O176" s="1">
        <v>1216755</v>
      </c>
      <c r="P176" s="1">
        <v>8.9672920518023239E-2</v>
      </c>
    </row>
    <row r="177" spans="1:16" x14ac:dyDescent="0.3">
      <c r="A177" s="1" t="s">
        <v>180</v>
      </c>
      <c r="B177" s="1" t="s">
        <v>181</v>
      </c>
      <c r="C177" s="1" t="s">
        <v>96</v>
      </c>
      <c r="D177" s="1">
        <v>2790307</v>
      </c>
      <c r="E177" s="1">
        <v>1700</v>
      </c>
      <c r="F177" s="1">
        <v>462</v>
      </c>
      <c r="G177" s="1">
        <v>52553</v>
      </c>
      <c r="H177" s="1">
        <v>874.90706112266503</v>
      </c>
      <c r="I177" s="1">
        <v>492.40610120328159</v>
      </c>
      <c r="J177" s="1">
        <v>1</v>
      </c>
      <c r="K177" s="1">
        <v>462</v>
      </c>
      <c r="L177" s="1">
        <v>829</v>
      </c>
      <c r="M177" s="1">
        <v>1320</v>
      </c>
      <c r="N177" s="1">
        <v>1720</v>
      </c>
      <c r="O177" s="1">
        <v>10778505</v>
      </c>
      <c r="P177" s="1">
        <v>0.79435878395249337</v>
      </c>
    </row>
    <row r="178" spans="1:16" x14ac:dyDescent="0.3">
      <c r="A178" s="1" t="s">
        <v>180</v>
      </c>
      <c r="B178" s="1" t="s">
        <v>181</v>
      </c>
      <c r="C178" s="1" t="s">
        <v>204</v>
      </c>
      <c r="D178" s="1">
        <v>13568812</v>
      </c>
      <c r="E178" s="1">
        <v>2349</v>
      </c>
      <c r="F178" s="1" t="s">
        <v>205</v>
      </c>
      <c r="G178" s="1">
        <v>724849</v>
      </c>
      <c r="H178" s="1"/>
      <c r="I178" s="1"/>
      <c r="J178" s="1"/>
      <c r="K178" s="1"/>
      <c r="L178" s="1"/>
      <c r="M178" s="1"/>
      <c r="N178" s="1"/>
      <c r="O178" s="1">
        <v>0</v>
      </c>
      <c r="P178" s="1">
        <v>0</v>
      </c>
    </row>
    <row r="179" spans="1:16" x14ac:dyDescent="0.3">
      <c r="A179" s="1" t="s">
        <v>180</v>
      </c>
      <c r="B179" s="1" t="s">
        <v>181</v>
      </c>
      <c r="C179" s="1" t="s">
        <v>206</v>
      </c>
      <c r="D179" s="1">
        <v>13568812</v>
      </c>
      <c r="E179" s="1">
        <v>2023</v>
      </c>
      <c r="F179" s="1" t="s">
        <v>205</v>
      </c>
      <c r="G179" s="1">
        <v>724849</v>
      </c>
      <c r="H179" s="1"/>
      <c r="I179" s="1"/>
      <c r="J179" s="1"/>
      <c r="K179" s="1"/>
      <c r="L179" s="1"/>
      <c r="M179" s="1"/>
      <c r="N179" s="1"/>
      <c r="O179" s="1">
        <v>0</v>
      </c>
      <c r="P179" s="1">
        <v>0</v>
      </c>
    </row>
    <row r="180" spans="1:16" x14ac:dyDescent="0.3">
      <c r="A180" s="1" t="s">
        <v>180</v>
      </c>
      <c r="B180" s="1" t="s">
        <v>181</v>
      </c>
      <c r="C180" s="1" t="s">
        <v>207</v>
      </c>
      <c r="D180" s="1">
        <v>10397068</v>
      </c>
      <c r="E180" s="1">
        <v>1849</v>
      </c>
      <c r="F180" s="1">
        <v>4224504</v>
      </c>
      <c r="G180" s="1">
        <v>724849</v>
      </c>
      <c r="H180" s="1"/>
      <c r="I180" s="1"/>
      <c r="J180" s="1"/>
      <c r="K180" s="1"/>
      <c r="L180" s="1"/>
      <c r="M180" s="1"/>
      <c r="N180" s="1"/>
      <c r="O180" s="1">
        <v>3171744</v>
      </c>
      <c r="P180" s="1">
        <v>0.23375252011745759</v>
      </c>
    </row>
    <row r="181" spans="1:16" x14ac:dyDescent="0.3">
      <c r="A181" s="1" t="s">
        <v>180</v>
      </c>
      <c r="B181" s="1" t="s">
        <v>181</v>
      </c>
      <c r="C181" s="1" t="s">
        <v>208</v>
      </c>
      <c r="D181" s="1">
        <v>12989395</v>
      </c>
      <c r="E181" s="1">
        <v>125</v>
      </c>
      <c r="F181" s="1" t="s">
        <v>200</v>
      </c>
      <c r="G181" s="1">
        <v>1653577</v>
      </c>
      <c r="H181" s="1"/>
      <c r="I181" s="1"/>
      <c r="J181" s="1"/>
      <c r="K181" s="1"/>
      <c r="L181" s="1"/>
      <c r="M181" s="1"/>
      <c r="N181" s="1"/>
      <c r="O181" s="1">
        <v>579417</v>
      </c>
      <c r="P181" s="1">
        <v>4.2702117178718371E-2</v>
      </c>
    </row>
    <row r="182" spans="1:16" x14ac:dyDescent="0.3">
      <c r="A182" s="1" t="s">
        <v>180</v>
      </c>
      <c r="B182" s="1" t="s">
        <v>181</v>
      </c>
      <c r="C182" s="1" t="s">
        <v>209</v>
      </c>
      <c r="D182" s="1">
        <v>13485079</v>
      </c>
      <c r="E182" s="1">
        <v>57968</v>
      </c>
      <c r="F182" s="1">
        <v>20</v>
      </c>
      <c r="G182" s="1">
        <v>419152</v>
      </c>
      <c r="H182" s="1"/>
      <c r="I182" s="1"/>
      <c r="J182" s="1"/>
      <c r="K182" s="1"/>
      <c r="L182" s="1"/>
      <c r="M182" s="1"/>
      <c r="N182" s="1"/>
      <c r="O182" s="1">
        <v>83733</v>
      </c>
      <c r="P182" s="1">
        <v>6.1709897668270454E-3</v>
      </c>
    </row>
    <row r="183" spans="1:16" x14ac:dyDescent="0.3">
      <c r="A183" s="1" t="s">
        <v>180</v>
      </c>
      <c r="B183" s="1" t="s">
        <v>181</v>
      </c>
      <c r="C183" s="1" t="s">
        <v>164</v>
      </c>
      <c r="D183" s="1">
        <v>13568812</v>
      </c>
      <c r="E183" s="1">
        <v>2</v>
      </c>
      <c r="F183" s="1" t="s">
        <v>165</v>
      </c>
      <c r="G183" s="1">
        <v>7764805</v>
      </c>
      <c r="H183" s="1"/>
      <c r="I183" s="1"/>
      <c r="J183" s="1"/>
      <c r="K183" s="1"/>
      <c r="L183" s="1"/>
      <c r="M183" s="1"/>
      <c r="N183" s="1"/>
      <c r="O183" s="1">
        <v>0</v>
      </c>
      <c r="P183" s="1">
        <v>0</v>
      </c>
    </row>
    <row r="184" spans="1:16" x14ac:dyDescent="0.3">
      <c r="A184" s="1" t="s">
        <v>180</v>
      </c>
      <c r="B184" s="1" t="s">
        <v>181</v>
      </c>
      <c r="C184" s="1" t="s">
        <v>89</v>
      </c>
      <c r="D184" s="1">
        <v>13541628</v>
      </c>
      <c r="E184" s="1">
        <v>157709</v>
      </c>
      <c r="F184" s="1" t="s">
        <v>210</v>
      </c>
      <c r="G184" s="1">
        <v>129944</v>
      </c>
      <c r="H184" s="1"/>
      <c r="I184" s="1"/>
      <c r="J184" s="1"/>
      <c r="K184" s="1"/>
      <c r="L184" s="1"/>
      <c r="M184" s="1"/>
      <c r="N184" s="1"/>
      <c r="O184" s="1">
        <v>27184</v>
      </c>
      <c r="P184" s="1">
        <v>2.0034178379065171E-3</v>
      </c>
    </row>
    <row r="185" spans="1:16" x14ac:dyDescent="0.3">
      <c r="A185" s="1" t="s">
        <v>180</v>
      </c>
      <c r="B185" s="1" t="s">
        <v>181</v>
      </c>
      <c r="C185" s="1" t="s">
        <v>211</v>
      </c>
      <c r="D185" s="1">
        <v>7764805</v>
      </c>
      <c r="E185" s="1">
        <v>1672</v>
      </c>
      <c r="F185" s="1" t="s">
        <v>212</v>
      </c>
      <c r="G185" s="1">
        <v>2099823</v>
      </c>
      <c r="H185" s="1"/>
      <c r="I185" s="1"/>
      <c r="J185" s="1"/>
      <c r="K185" s="1"/>
      <c r="L185" s="1"/>
      <c r="M185" s="1"/>
      <c r="N185" s="1"/>
      <c r="O185" s="1">
        <v>5804007</v>
      </c>
      <c r="P185" s="1">
        <v>0.42774614314060799</v>
      </c>
    </row>
    <row r="186" spans="1:16" x14ac:dyDescent="0.3">
      <c r="A186" s="1" t="s">
        <v>180</v>
      </c>
      <c r="B186" s="1" t="s">
        <v>181</v>
      </c>
      <c r="C186" s="1" t="s">
        <v>213</v>
      </c>
      <c r="D186" s="1">
        <v>7764805</v>
      </c>
      <c r="E186" s="1">
        <v>2383</v>
      </c>
      <c r="F186" s="1" t="s">
        <v>214</v>
      </c>
      <c r="G186" s="1">
        <v>1644687</v>
      </c>
      <c r="H186" s="1"/>
      <c r="I186" s="1"/>
      <c r="J186" s="1"/>
      <c r="K186" s="1"/>
      <c r="L186" s="1"/>
      <c r="M186" s="1"/>
      <c r="N186" s="1"/>
      <c r="O186" s="1">
        <v>5804007</v>
      </c>
      <c r="P186" s="1">
        <v>0.42774614314060799</v>
      </c>
    </row>
    <row r="187" spans="1:16" x14ac:dyDescent="0.3">
      <c r="A187" s="1" t="s">
        <v>180</v>
      </c>
      <c r="B187" s="1" t="s">
        <v>181</v>
      </c>
      <c r="C187" s="1" t="s">
        <v>91</v>
      </c>
      <c r="D187" s="1">
        <v>13541628</v>
      </c>
      <c r="E187" s="1">
        <v>47</v>
      </c>
      <c r="F187" s="1" t="s">
        <v>92</v>
      </c>
      <c r="G187" s="1">
        <v>2521549</v>
      </c>
      <c r="H187" s="1"/>
      <c r="I187" s="1"/>
      <c r="J187" s="1"/>
      <c r="K187" s="1"/>
      <c r="L187" s="1"/>
      <c r="M187" s="1"/>
      <c r="N187" s="1"/>
      <c r="O187" s="1">
        <v>27184</v>
      </c>
      <c r="P187" s="1">
        <v>2.0034178379065171E-3</v>
      </c>
    </row>
    <row r="188" spans="1:16" x14ac:dyDescent="0.3">
      <c r="A188" s="1" t="s">
        <v>180</v>
      </c>
      <c r="B188" s="1" t="s">
        <v>181</v>
      </c>
      <c r="C188" s="1" t="s">
        <v>93</v>
      </c>
      <c r="D188" s="1">
        <v>13568812</v>
      </c>
      <c r="E188" s="1">
        <v>48</v>
      </c>
      <c r="F188" s="1" t="s">
        <v>94</v>
      </c>
      <c r="G188" s="1">
        <v>2521549</v>
      </c>
      <c r="H188" s="1"/>
      <c r="I188" s="1"/>
      <c r="J188" s="1"/>
      <c r="K188" s="1"/>
      <c r="L188" s="1"/>
      <c r="M188" s="1"/>
      <c r="N188" s="1"/>
      <c r="O188" s="1">
        <v>0</v>
      </c>
      <c r="P188" s="1">
        <v>0</v>
      </c>
    </row>
    <row r="189" spans="1:16" x14ac:dyDescent="0.3">
      <c r="A189" s="1" t="s">
        <v>180</v>
      </c>
      <c r="B189" s="1" t="s">
        <v>181</v>
      </c>
      <c r="C189" s="1" t="s">
        <v>215</v>
      </c>
      <c r="D189" s="1">
        <v>7764805</v>
      </c>
      <c r="E189" s="1">
        <v>9180</v>
      </c>
      <c r="F189" s="7">
        <v>44641</v>
      </c>
      <c r="G189" s="1">
        <v>12237</v>
      </c>
      <c r="H189" s="7">
        <v>43464.531909432873</v>
      </c>
      <c r="I189" s="1"/>
      <c r="J189" s="7">
        <v>35916</v>
      </c>
      <c r="K189" s="7">
        <v>42630</v>
      </c>
      <c r="L189" s="7">
        <v>44392</v>
      </c>
      <c r="M189" s="7">
        <v>44850</v>
      </c>
      <c r="N189" s="7">
        <v>45291</v>
      </c>
      <c r="O189" s="1">
        <v>5804007</v>
      </c>
      <c r="P189" s="1">
        <v>0.42774614314060799</v>
      </c>
    </row>
    <row r="190" spans="1:16" x14ac:dyDescent="0.3">
      <c r="A190" s="1" t="s">
        <v>180</v>
      </c>
      <c r="B190" s="1" t="s">
        <v>181</v>
      </c>
      <c r="C190" s="1" t="s">
        <v>175</v>
      </c>
      <c r="D190" s="1">
        <v>7764805</v>
      </c>
      <c r="E190" s="1">
        <v>504</v>
      </c>
      <c r="F190" s="1">
        <v>1</v>
      </c>
      <c r="G190" s="1">
        <v>865448</v>
      </c>
      <c r="H190" s="1">
        <v>20.402067405427442</v>
      </c>
      <c r="I190" s="1">
        <v>26.18435225324955</v>
      </c>
      <c r="J190" s="1">
        <v>1</v>
      </c>
      <c r="K190" s="1">
        <v>4</v>
      </c>
      <c r="L190" s="1">
        <v>11</v>
      </c>
      <c r="M190" s="1">
        <v>29</v>
      </c>
      <c r="N190" s="1">
        <v>2393</v>
      </c>
      <c r="O190" s="1">
        <v>5804007</v>
      </c>
      <c r="P190" s="1">
        <v>0.42774614314060799</v>
      </c>
    </row>
    <row r="191" spans="1:16" x14ac:dyDescent="0.3">
      <c r="A191" s="1" t="s">
        <v>180</v>
      </c>
      <c r="B191" s="1" t="s">
        <v>181</v>
      </c>
      <c r="C191" s="1" t="s">
        <v>216</v>
      </c>
      <c r="D191" s="1">
        <v>6014309</v>
      </c>
      <c r="E191" s="1">
        <v>351</v>
      </c>
      <c r="F191" s="1">
        <v>5</v>
      </c>
      <c r="G191" s="1">
        <v>210996</v>
      </c>
      <c r="H191" s="1">
        <v>51.496562362193252</v>
      </c>
      <c r="I191" s="1">
        <v>98.854373305144279</v>
      </c>
      <c r="J191" s="1">
        <v>0</v>
      </c>
      <c r="K191" s="1">
        <v>5</v>
      </c>
      <c r="L191" s="1">
        <v>10.8</v>
      </c>
      <c r="M191" s="1">
        <v>48</v>
      </c>
      <c r="N191" s="1">
        <v>14200</v>
      </c>
      <c r="O191" s="1">
        <v>7554503</v>
      </c>
      <c r="P191" s="1">
        <v>0.55675493182453994</v>
      </c>
    </row>
    <row r="192" spans="1:16" x14ac:dyDescent="0.3">
      <c r="A192" s="1" t="s">
        <v>180</v>
      </c>
      <c r="B192" s="1" t="s">
        <v>181</v>
      </c>
      <c r="C192" s="1" t="s">
        <v>217</v>
      </c>
      <c r="D192" s="1">
        <v>5510311</v>
      </c>
      <c r="E192" s="1">
        <v>253</v>
      </c>
      <c r="F192" s="1">
        <v>0</v>
      </c>
      <c r="G192" s="1">
        <v>629284</v>
      </c>
      <c r="H192" s="1">
        <v>28.660498796528898</v>
      </c>
      <c r="I192" s="1">
        <v>46.398786226247722</v>
      </c>
      <c r="J192" s="1">
        <v>0</v>
      </c>
      <c r="K192" s="1">
        <v>1.8</v>
      </c>
      <c r="L192" s="1">
        <v>7.4</v>
      </c>
      <c r="M192" s="1">
        <v>35</v>
      </c>
      <c r="N192" s="1">
        <v>3400</v>
      </c>
      <c r="O192" s="1">
        <v>8058501</v>
      </c>
      <c r="P192" s="1">
        <v>0.59389878789683281</v>
      </c>
    </row>
    <row r="193" spans="1:16" x14ac:dyDescent="0.3">
      <c r="A193" s="1" t="s">
        <v>180</v>
      </c>
      <c r="B193" s="1" t="s">
        <v>181</v>
      </c>
      <c r="C193" s="1" t="s">
        <v>168</v>
      </c>
      <c r="D193" s="1">
        <v>7764406</v>
      </c>
      <c r="E193" s="1">
        <v>105</v>
      </c>
      <c r="F193" s="1">
        <v>73</v>
      </c>
      <c r="G193" s="1">
        <v>260648</v>
      </c>
      <c r="H193" s="1">
        <v>62.826193787393393</v>
      </c>
      <c r="I193" s="1">
        <v>20.21196058327137</v>
      </c>
      <c r="J193" s="1">
        <v>0</v>
      </c>
      <c r="K193" s="1">
        <v>55</v>
      </c>
      <c r="L193" s="1">
        <v>68</v>
      </c>
      <c r="M193" s="1">
        <v>77</v>
      </c>
      <c r="N193" s="1">
        <v>104</v>
      </c>
      <c r="O193" s="1">
        <v>5804406</v>
      </c>
      <c r="P193" s="1">
        <v>0.42777554881002111</v>
      </c>
    </row>
    <row r="194" spans="1:16" x14ac:dyDescent="0.3">
      <c r="A194" s="1" t="s">
        <v>180</v>
      </c>
      <c r="B194" s="1" t="s">
        <v>181</v>
      </c>
      <c r="C194" s="1" t="s">
        <v>218</v>
      </c>
      <c r="D194" s="1">
        <v>6471853</v>
      </c>
      <c r="E194" s="1">
        <v>117935</v>
      </c>
      <c r="F194" s="1" t="s">
        <v>219</v>
      </c>
      <c r="G194" s="1">
        <v>158820</v>
      </c>
      <c r="H194" s="1"/>
      <c r="I194" s="1"/>
      <c r="J194" s="1"/>
      <c r="K194" s="1"/>
      <c r="L194" s="1"/>
      <c r="M194" s="1"/>
      <c r="N194" s="1"/>
      <c r="O194" s="1">
        <v>7096959</v>
      </c>
      <c r="P194" s="1">
        <v>0.52303466213549132</v>
      </c>
    </row>
    <row r="195" spans="1:16" x14ac:dyDescent="0.3">
      <c r="A195" s="1" t="s">
        <v>180</v>
      </c>
      <c r="B195" s="1" t="s">
        <v>181</v>
      </c>
      <c r="C195" s="1" t="s">
        <v>134</v>
      </c>
      <c r="D195" s="1">
        <v>5804007</v>
      </c>
      <c r="E195" s="1">
        <v>3</v>
      </c>
      <c r="F195" s="1" t="s">
        <v>167</v>
      </c>
      <c r="G195" s="1">
        <v>5098738</v>
      </c>
      <c r="H195" s="1"/>
      <c r="I195" s="1"/>
      <c r="J195" s="1"/>
      <c r="K195" s="1"/>
      <c r="L195" s="1"/>
      <c r="M195" s="1"/>
      <c r="N195" s="1"/>
      <c r="O195" s="1">
        <v>7764805</v>
      </c>
      <c r="P195" s="1">
        <v>0.57225385685939201</v>
      </c>
    </row>
    <row r="196" spans="1:16" x14ac:dyDescent="0.3">
      <c r="A196" s="1" t="s">
        <v>220</v>
      </c>
      <c r="B196" s="1" t="s">
        <v>221</v>
      </c>
      <c r="C196" s="1" t="s">
        <v>222</v>
      </c>
      <c r="D196" s="1">
        <v>3890055</v>
      </c>
      <c r="E196" s="1">
        <v>3890055</v>
      </c>
      <c r="F196" s="1">
        <v>1</v>
      </c>
      <c r="G196" s="1">
        <v>1</v>
      </c>
      <c r="H196" s="1">
        <v>1945028</v>
      </c>
      <c r="I196" s="1">
        <v>1122962.295043783</v>
      </c>
      <c r="J196" s="1">
        <v>1</v>
      </c>
      <c r="K196" s="1">
        <v>972514.5</v>
      </c>
      <c r="L196" s="1">
        <v>1945028</v>
      </c>
      <c r="M196" s="1">
        <v>2917541.5</v>
      </c>
      <c r="N196" s="1">
        <v>3890055</v>
      </c>
      <c r="O196" s="1">
        <v>0</v>
      </c>
      <c r="P196" s="1">
        <v>0</v>
      </c>
    </row>
    <row r="197" spans="1:16" x14ac:dyDescent="0.3">
      <c r="A197" s="1" t="s">
        <v>220</v>
      </c>
      <c r="B197" s="1" t="s">
        <v>221</v>
      </c>
      <c r="C197" s="1" t="s">
        <v>51</v>
      </c>
      <c r="D197" s="1">
        <v>3890055</v>
      </c>
      <c r="E197" s="1">
        <v>6117</v>
      </c>
      <c r="F197" s="1">
        <v>2207</v>
      </c>
      <c r="G197" s="1">
        <v>61780</v>
      </c>
      <c r="H197" s="1">
        <v>3211.0953256444959</v>
      </c>
      <c r="I197" s="1">
        <v>1807.540034544842</v>
      </c>
      <c r="J197" s="1">
        <v>1</v>
      </c>
      <c r="K197" s="1">
        <v>1561</v>
      </c>
      <c r="L197" s="1">
        <v>3318</v>
      </c>
      <c r="M197" s="1">
        <v>4788</v>
      </c>
      <c r="N197" s="1">
        <v>6147</v>
      </c>
      <c r="O197" s="1">
        <v>0</v>
      </c>
      <c r="P197" s="1">
        <v>0</v>
      </c>
    </row>
    <row r="198" spans="1:16" x14ac:dyDescent="0.3">
      <c r="A198" s="1" t="s">
        <v>220</v>
      </c>
      <c r="B198" s="1" t="s">
        <v>221</v>
      </c>
      <c r="C198" s="1" t="s">
        <v>59</v>
      </c>
      <c r="D198" s="1">
        <v>3890055</v>
      </c>
      <c r="E198" s="1">
        <v>5424</v>
      </c>
      <c r="F198" s="1" t="s">
        <v>223</v>
      </c>
      <c r="G198" s="1">
        <v>61780</v>
      </c>
      <c r="H198" s="1"/>
      <c r="I198" s="1"/>
      <c r="J198" s="1"/>
      <c r="K198" s="1"/>
      <c r="L198" s="1"/>
      <c r="M198" s="1"/>
      <c r="N198" s="1"/>
      <c r="O198" s="1">
        <v>0</v>
      </c>
      <c r="P198" s="1">
        <v>0</v>
      </c>
    </row>
    <row r="199" spans="1:16" x14ac:dyDescent="0.3">
      <c r="A199" s="1" t="s">
        <v>220</v>
      </c>
      <c r="B199" s="1" t="s">
        <v>221</v>
      </c>
      <c r="C199" s="1" t="s">
        <v>224</v>
      </c>
      <c r="D199" s="1">
        <v>3890055</v>
      </c>
      <c r="E199" s="1">
        <v>2298</v>
      </c>
      <c r="F199" s="1">
        <v>0</v>
      </c>
      <c r="G199" s="1">
        <v>2870239</v>
      </c>
      <c r="H199" s="1">
        <v>11077952.35591553</v>
      </c>
      <c r="I199" s="1">
        <v>18608789.938971881</v>
      </c>
      <c r="J199" s="1">
        <v>0</v>
      </c>
      <c r="K199" s="1">
        <v>0</v>
      </c>
      <c r="L199" s="1">
        <v>0</v>
      </c>
      <c r="M199" s="1">
        <v>42237571</v>
      </c>
      <c r="N199" s="1">
        <v>43008780</v>
      </c>
      <c r="O199" s="1">
        <v>0</v>
      </c>
      <c r="P199" s="1">
        <v>0</v>
      </c>
    </row>
    <row r="200" spans="1:16" x14ac:dyDescent="0.3">
      <c r="A200" s="1" t="s">
        <v>220</v>
      </c>
      <c r="B200" s="1" t="s">
        <v>221</v>
      </c>
      <c r="C200" s="1" t="s">
        <v>225</v>
      </c>
      <c r="D200" s="1">
        <v>3890055</v>
      </c>
      <c r="E200" s="1">
        <v>9373</v>
      </c>
      <c r="F200" s="7">
        <v>44641</v>
      </c>
      <c r="G200" s="1">
        <v>4941</v>
      </c>
      <c r="H200" s="7">
        <v>43493.311704849541</v>
      </c>
      <c r="I200" s="1"/>
      <c r="J200" s="7">
        <v>35903</v>
      </c>
      <c r="K200" s="7">
        <v>42693</v>
      </c>
      <c r="L200" s="7">
        <v>44387</v>
      </c>
      <c r="M200" s="7">
        <v>44854</v>
      </c>
      <c r="N200" s="7">
        <v>45291</v>
      </c>
      <c r="O200" s="1">
        <v>0</v>
      </c>
      <c r="P200" s="1">
        <v>0</v>
      </c>
    </row>
    <row r="201" spans="1:16" x14ac:dyDescent="0.3">
      <c r="A201" s="1" t="s">
        <v>220</v>
      </c>
      <c r="B201" s="1" t="s">
        <v>221</v>
      </c>
      <c r="C201" s="1" t="s">
        <v>226</v>
      </c>
      <c r="D201" s="1">
        <v>3890055</v>
      </c>
      <c r="E201" s="1">
        <v>9373</v>
      </c>
      <c r="F201" s="7">
        <v>44641</v>
      </c>
      <c r="G201" s="1">
        <v>4941</v>
      </c>
      <c r="H201" s="7">
        <v>43493.311704849541</v>
      </c>
      <c r="I201" s="1"/>
      <c r="J201" s="7">
        <v>35903</v>
      </c>
      <c r="K201" s="7">
        <v>42693</v>
      </c>
      <c r="L201" s="7">
        <v>44387</v>
      </c>
      <c r="M201" s="7">
        <v>44854</v>
      </c>
      <c r="N201" s="7">
        <v>45291</v>
      </c>
      <c r="O201" s="1">
        <v>0</v>
      </c>
      <c r="P201" s="1">
        <v>0</v>
      </c>
    </row>
    <row r="202" spans="1:16" x14ac:dyDescent="0.3">
      <c r="A202" s="1" t="s">
        <v>220</v>
      </c>
      <c r="B202" s="1" t="s">
        <v>221</v>
      </c>
      <c r="C202" s="1" t="s">
        <v>227</v>
      </c>
      <c r="D202" s="1">
        <v>3890055</v>
      </c>
      <c r="E202" s="1">
        <v>1</v>
      </c>
      <c r="F202" s="1">
        <v>38000275</v>
      </c>
      <c r="G202" s="1">
        <v>3890055</v>
      </c>
      <c r="H202" s="1">
        <v>38000275</v>
      </c>
      <c r="I202" s="1">
        <v>0</v>
      </c>
      <c r="J202" s="1">
        <v>38000275</v>
      </c>
      <c r="K202" s="1">
        <v>38000275</v>
      </c>
      <c r="L202" s="1">
        <v>38000275</v>
      </c>
      <c r="M202" s="1">
        <v>38000275</v>
      </c>
      <c r="N202" s="1">
        <v>38000275</v>
      </c>
      <c r="O202" s="1">
        <v>0</v>
      </c>
      <c r="P202" s="1">
        <v>0</v>
      </c>
    </row>
    <row r="203" spans="1:16" x14ac:dyDescent="0.3">
      <c r="A203" s="1" t="s">
        <v>220</v>
      </c>
      <c r="B203" s="1" t="s">
        <v>221</v>
      </c>
      <c r="C203" s="1" t="s">
        <v>228</v>
      </c>
      <c r="D203" s="1">
        <v>3890055</v>
      </c>
      <c r="E203" s="1">
        <v>1</v>
      </c>
      <c r="F203" s="1" t="s">
        <v>229</v>
      </c>
      <c r="G203" s="1">
        <v>3890055</v>
      </c>
      <c r="H203" s="1"/>
      <c r="I203" s="1"/>
      <c r="J203" s="1"/>
      <c r="K203" s="1"/>
      <c r="L203" s="1"/>
      <c r="M203" s="1"/>
      <c r="N203" s="1"/>
      <c r="O203" s="1">
        <v>0</v>
      </c>
      <c r="P203" s="1">
        <v>0</v>
      </c>
    </row>
    <row r="204" spans="1:16" x14ac:dyDescent="0.3">
      <c r="A204" s="1" t="s">
        <v>220</v>
      </c>
      <c r="B204" s="1" t="s">
        <v>221</v>
      </c>
      <c r="C204" s="1" t="s">
        <v>230</v>
      </c>
      <c r="D204" s="1">
        <v>3890055</v>
      </c>
      <c r="E204" s="1">
        <v>1</v>
      </c>
      <c r="F204" s="1">
        <v>0</v>
      </c>
      <c r="G204" s="1">
        <v>3890055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 x14ac:dyDescent="0.3">
      <c r="A205" s="1" t="s">
        <v>220</v>
      </c>
      <c r="B205" s="1" t="s">
        <v>221</v>
      </c>
      <c r="C205" s="1" t="s">
        <v>150</v>
      </c>
      <c r="D205" s="1">
        <v>0</v>
      </c>
      <c r="E205" s="1">
        <v>0</v>
      </c>
      <c r="F205" s="1"/>
      <c r="G205" s="1">
        <v>0</v>
      </c>
      <c r="H205" s="1"/>
      <c r="I205" s="1"/>
      <c r="J205" s="1"/>
      <c r="K205" s="1"/>
      <c r="L205" s="1"/>
      <c r="M205" s="1"/>
      <c r="N205" s="1"/>
      <c r="O205" s="1">
        <v>3890055</v>
      </c>
      <c r="P205" s="1">
        <v>1</v>
      </c>
    </row>
    <row r="206" spans="1:16" x14ac:dyDescent="0.3">
      <c r="A206" s="1" t="s">
        <v>220</v>
      </c>
      <c r="B206" s="1" t="s">
        <v>221</v>
      </c>
      <c r="C206" s="1" t="s">
        <v>29</v>
      </c>
      <c r="D206" s="1">
        <v>3887219</v>
      </c>
      <c r="E206" s="1">
        <v>3119</v>
      </c>
      <c r="F206" s="1">
        <v>640</v>
      </c>
      <c r="G206" s="1">
        <v>64835</v>
      </c>
      <c r="H206" s="1">
        <v>7782.0964630498047</v>
      </c>
      <c r="I206" s="1">
        <v>3861.793193331609</v>
      </c>
      <c r="J206" s="1">
        <v>1</v>
      </c>
      <c r="K206" s="1">
        <v>4687</v>
      </c>
      <c r="L206" s="1">
        <v>8676</v>
      </c>
      <c r="M206" s="1">
        <v>10631</v>
      </c>
      <c r="N206" s="1">
        <v>15174</v>
      </c>
      <c r="O206" s="1">
        <v>2836</v>
      </c>
      <c r="P206" s="1">
        <v>7.290385354448716E-4</v>
      </c>
    </row>
    <row r="207" spans="1:16" x14ac:dyDescent="0.3">
      <c r="A207" s="1" t="s">
        <v>220</v>
      </c>
      <c r="B207" s="1" t="s">
        <v>221</v>
      </c>
      <c r="C207" s="1" t="s">
        <v>231</v>
      </c>
      <c r="D207" s="1">
        <v>3559737</v>
      </c>
      <c r="E207" s="1">
        <v>3004</v>
      </c>
      <c r="F207" s="1" t="s">
        <v>203</v>
      </c>
      <c r="G207" s="1">
        <v>54599</v>
      </c>
      <c r="H207" s="1"/>
      <c r="I207" s="1"/>
      <c r="J207" s="1"/>
      <c r="K207" s="1"/>
      <c r="L207" s="1"/>
      <c r="M207" s="1"/>
      <c r="N207" s="1"/>
      <c r="O207" s="1">
        <v>330318</v>
      </c>
      <c r="P207" s="1">
        <v>8.4913452380493332E-2</v>
      </c>
    </row>
    <row r="208" spans="1:16" x14ac:dyDescent="0.3">
      <c r="A208" s="1" t="s">
        <v>220</v>
      </c>
      <c r="B208" s="1" t="s">
        <v>221</v>
      </c>
      <c r="C208" s="1" t="s">
        <v>71</v>
      </c>
      <c r="D208" s="1">
        <v>3223123</v>
      </c>
      <c r="E208" s="1">
        <v>106357</v>
      </c>
      <c r="F208" s="1">
        <v>435187</v>
      </c>
      <c r="G208" s="1">
        <v>53506</v>
      </c>
      <c r="H208" s="1">
        <v>426960.22651416028</v>
      </c>
      <c r="I208" s="1">
        <v>63283.789655749853</v>
      </c>
      <c r="J208" s="1">
        <v>35</v>
      </c>
      <c r="K208" s="1">
        <v>430259</v>
      </c>
      <c r="L208" s="1">
        <v>439282</v>
      </c>
      <c r="M208" s="1">
        <v>448812</v>
      </c>
      <c r="N208" s="1">
        <v>456446</v>
      </c>
      <c r="O208" s="1">
        <v>666932</v>
      </c>
      <c r="P208" s="1">
        <v>0.17144539087493621</v>
      </c>
    </row>
    <row r="209" spans="1:16" x14ac:dyDescent="0.3">
      <c r="A209" s="1" t="s">
        <v>220</v>
      </c>
      <c r="B209" s="1" t="s">
        <v>221</v>
      </c>
      <c r="C209" s="1" t="s">
        <v>96</v>
      </c>
      <c r="D209" s="1">
        <v>978893</v>
      </c>
      <c r="E209" s="1">
        <v>1720</v>
      </c>
      <c r="F209" s="1">
        <v>462</v>
      </c>
      <c r="G209" s="1">
        <v>26753</v>
      </c>
      <c r="H209" s="1">
        <v>843.17467486231897</v>
      </c>
      <c r="I209" s="1">
        <v>507.16240670549303</v>
      </c>
      <c r="J209" s="1">
        <v>1</v>
      </c>
      <c r="K209" s="1">
        <v>416</v>
      </c>
      <c r="L209" s="1">
        <v>801</v>
      </c>
      <c r="M209" s="1">
        <v>1295</v>
      </c>
      <c r="N209" s="1">
        <v>1720</v>
      </c>
      <c r="O209" s="1">
        <v>2911162</v>
      </c>
      <c r="P209" s="1">
        <v>0.74836011316035378</v>
      </c>
    </row>
    <row r="210" spans="1:16" x14ac:dyDescent="0.3">
      <c r="A210" s="1" t="s">
        <v>220</v>
      </c>
      <c r="B210" s="1" t="s">
        <v>221</v>
      </c>
      <c r="C210" s="1" t="s">
        <v>232</v>
      </c>
      <c r="D210" s="1">
        <v>3890055</v>
      </c>
      <c r="E210" s="1">
        <v>5400</v>
      </c>
      <c r="F210" s="1" t="s">
        <v>233</v>
      </c>
      <c r="G210" s="1">
        <v>1088845</v>
      </c>
      <c r="H210" s="1"/>
      <c r="I210" s="1"/>
      <c r="J210" s="1"/>
      <c r="K210" s="1"/>
      <c r="L210" s="1"/>
      <c r="M210" s="1"/>
      <c r="N210" s="1"/>
      <c r="O210" s="1">
        <v>0</v>
      </c>
      <c r="P210" s="1">
        <v>0</v>
      </c>
    </row>
    <row r="211" spans="1:16" x14ac:dyDescent="0.3">
      <c r="A211" s="1" t="s">
        <v>220</v>
      </c>
      <c r="B211" s="1" t="s">
        <v>221</v>
      </c>
      <c r="C211" s="1" t="s">
        <v>234</v>
      </c>
      <c r="D211" s="1">
        <v>3890028</v>
      </c>
      <c r="E211" s="1">
        <v>157306</v>
      </c>
      <c r="F211" s="1" t="s">
        <v>235</v>
      </c>
      <c r="G211" s="1">
        <v>733558</v>
      </c>
      <c r="H211" s="1"/>
      <c r="I211" s="1"/>
      <c r="J211" s="1"/>
      <c r="K211" s="1"/>
      <c r="L211" s="1"/>
      <c r="M211" s="1"/>
      <c r="N211" s="1"/>
      <c r="O211" s="1">
        <v>27</v>
      </c>
      <c r="P211" s="1">
        <v>6.9407759016260694E-6</v>
      </c>
    </row>
    <row r="212" spans="1:16" x14ac:dyDescent="0.3">
      <c r="A212" s="1" t="s">
        <v>220</v>
      </c>
      <c r="B212" s="1" t="s">
        <v>221</v>
      </c>
      <c r="C212" s="1" t="s">
        <v>236</v>
      </c>
      <c r="D212" s="1">
        <v>3337974</v>
      </c>
      <c r="E212" s="1">
        <v>3140</v>
      </c>
      <c r="F212" s="1" t="s">
        <v>219</v>
      </c>
      <c r="G212" s="1">
        <v>2235642</v>
      </c>
      <c r="H212" s="1"/>
      <c r="I212" s="1"/>
      <c r="J212" s="1"/>
      <c r="K212" s="1"/>
      <c r="L212" s="1"/>
      <c r="M212" s="1"/>
      <c r="N212" s="1"/>
      <c r="O212" s="1">
        <v>552081</v>
      </c>
      <c r="P212" s="1">
        <v>0.14192112964983791</v>
      </c>
    </row>
    <row r="213" spans="1:16" x14ac:dyDescent="0.3">
      <c r="A213" s="1" t="s">
        <v>220</v>
      </c>
      <c r="B213" s="1" t="s">
        <v>221</v>
      </c>
      <c r="C213" s="1" t="s">
        <v>237</v>
      </c>
      <c r="D213" s="1">
        <v>0</v>
      </c>
      <c r="E213" s="1">
        <v>0</v>
      </c>
      <c r="F213" s="1"/>
      <c r="G213" s="1">
        <v>0</v>
      </c>
      <c r="H213" s="1"/>
      <c r="I213" s="1"/>
      <c r="J213" s="1"/>
      <c r="K213" s="1"/>
      <c r="L213" s="1"/>
      <c r="M213" s="1"/>
      <c r="N213" s="1"/>
      <c r="O213" s="1">
        <v>3890055</v>
      </c>
      <c r="P213" s="1">
        <v>1</v>
      </c>
    </row>
    <row r="214" spans="1:16" x14ac:dyDescent="0.3">
      <c r="A214" s="1" t="s">
        <v>220</v>
      </c>
      <c r="B214" s="1" t="s">
        <v>221</v>
      </c>
      <c r="C214" s="1" t="s">
        <v>164</v>
      </c>
      <c r="D214" s="1">
        <v>3890055</v>
      </c>
      <c r="E214" s="1">
        <v>1</v>
      </c>
      <c r="F214" s="1" t="s">
        <v>165</v>
      </c>
      <c r="G214" s="1">
        <v>3890055</v>
      </c>
      <c r="H214" s="1"/>
      <c r="I214" s="1"/>
      <c r="J214" s="1"/>
      <c r="K214" s="1"/>
      <c r="L214" s="1"/>
      <c r="M214" s="1"/>
      <c r="N214" s="1"/>
      <c r="O214" s="1">
        <v>0</v>
      </c>
      <c r="P214" s="1">
        <v>0</v>
      </c>
    </row>
    <row r="215" spans="1:16" x14ac:dyDescent="0.3">
      <c r="A215" s="1" t="s">
        <v>220</v>
      </c>
      <c r="B215" s="1" t="s">
        <v>221</v>
      </c>
      <c r="C215" s="1" t="s">
        <v>89</v>
      </c>
      <c r="D215" s="1">
        <v>3890048</v>
      </c>
      <c r="E215" s="1">
        <v>139554</v>
      </c>
      <c r="F215" s="1" t="s">
        <v>238</v>
      </c>
      <c r="G215" s="1">
        <v>53506</v>
      </c>
      <c r="H215" s="1"/>
      <c r="I215" s="1"/>
      <c r="J215" s="1"/>
      <c r="K215" s="1"/>
      <c r="L215" s="1"/>
      <c r="M215" s="1"/>
      <c r="N215" s="1"/>
      <c r="O215" s="1">
        <v>7</v>
      </c>
      <c r="P215" s="1">
        <v>1.7994604189400921E-6</v>
      </c>
    </row>
    <row r="216" spans="1:16" x14ac:dyDescent="0.3">
      <c r="A216" s="1" t="s">
        <v>220</v>
      </c>
      <c r="B216" s="1" t="s">
        <v>221</v>
      </c>
      <c r="C216" s="1" t="s">
        <v>211</v>
      </c>
      <c r="D216" s="1">
        <v>3890048</v>
      </c>
      <c r="E216" s="1">
        <v>5387</v>
      </c>
      <c r="F216" s="1" t="s">
        <v>233</v>
      </c>
      <c r="G216" s="1">
        <v>1088845</v>
      </c>
      <c r="H216" s="1"/>
      <c r="I216" s="1"/>
      <c r="J216" s="1"/>
      <c r="K216" s="1"/>
      <c r="L216" s="1"/>
      <c r="M216" s="1"/>
      <c r="N216" s="1"/>
      <c r="O216" s="1">
        <v>7</v>
      </c>
      <c r="P216" s="1">
        <v>1.7994604189400921E-6</v>
      </c>
    </row>
    <row r="217" spans="1:16" x14ac:dyDescent="0.3">
      <c r="A217" s="1" t="s">
        <v>220</v>
      </c>
      <c r="B217" s="1" t="s">
        <v>221</v>
      </c>
      <c r="C217" s="1" t="s">
        <v>213</v>
      </c>
      <c r="D217" s="1">
        <v>3890021</v>
      </c>
      <c r="E217" s="1">
        <v>157911</v>
      </c>
      <c r="F217" s="1" t="s">
        <v>235</v>
      </c>
      <c r="G217" s="1">
        <v>733558</v>
      </c>
      <c r="H217" s="1"/>
      <c r="I217" s="1"/>
      <c r="J217" s="1"/>
      <c r="K217" s="1"/>
      <c r="L217" s="1"/>
      <c r="M217" s="1"/>
      <c r="N217" s="1"/>
      <c r="O217" s="1">
        <v>34</v>
      </c>
      <c r="P217" s="1">
        <v>8.7402363205661613E-6</v>
      </c>
    </row>
    <row r="218" spans="1:16" x14ac:dyDescent="0.3">
      <c r="A218" s="1" t="s">
        <v>220</v>
      </c>
      <c r="B218" s="1" t="s">
        <v>221</v>
      </c>
      <c r="C218" s="1" t="s">
        <v>134</v>
      </c>
      <c r="D218" s="1">
        <v>3890048</v>
      </c>
      <c r="E218" s="1">
        <v>4</v>
      </c>
      <c r="F218" s="1" t="s">
        <v>167</v>
      </c>
      <c r="G218" s="1">
        <v>3234119</v>
      </c>
      <c r="H218" s="1"/>
      <c r="I218" s="1"/>
      <c r="J218" s="1"/>
      <c r="K218" s="1"/>
      <c r="L218" s="1"/>
      <c r="M218" s="1"/>
      <c r="N218" s="1"/>
      <c r="O218" s="1">
        <v>7</v>
      </c>
      <c r="P218" s="1">
        <v>1.7994604189400921E-6</v>
      </c>
    </row>
    <row r="219" spans="1:16" x14ac:dyDescent="0.3">
      <c r="A219" s="1" t="s">
        <v>220</v>
      </c>
      <c r="B219" s="1" t="s">
        <v>221</v>
      </c>
      <c r="C219" s="1" t="s">
        <v>239</v>
      </c>
      <c r="D219" s="1">
        <v>3561420</v>
      </c>
      <c r="E219" s="1">
        <v>52</v>
      </c>
      <c r="F219" s="1" t="s">
        <v>92</v>
      </c>
      <c r="G219" s="1">
        <v>701812</v>
      </c>
      <c r="H219" s="1"/>
      <c r="I219" s="1"/>
      <c r="J219" s="1"/>
      <c r="K219" s="1"/>
      <c r="L219" s="1"/>
      <c r="M219" s="1"/>
      <c r="N219" s="1"/>
      <c r="O219" s="1">
        <v>328635</v>
      </c>
      <c r="P219" s="1">
        <v>8.4480810682625307E-2</v>
      </c>
    </row>
    <row r="220" spans="1:16" x14ac:dyDescent="0.3">
      <c r="A220" s="1" t="s">
        <v>220</v>
      </c>
      <c r="B220" s="1" t="s">
        <v>221</v>
      </c>
      <c r="C220" s="1" t="s">
        <v>93</v>
      </c>
      <c r="D220" s="1">
        <v>3890055</v>
      </c>
      <c r="E220" s="1">
        <v>53</v>
      </c>
      <c r="F220" s="1" t="s">
        <v>94</v>
      </c>
      <c r="G220" s="1">
        <v>751303</v>
      </c>
      <c r="H220" s="1"/>
      <c r="I220" s="1"/>
      <c r="J220" s="1"/>
      <c r="K220" s="1"/>
      <c r="L220" s="1"/>
      <c r="M220" s="1"/>
      <c r="N220" s="1"/>
      <c r="O220" s="1">
        <v>0</v>
      </c>
      <c r="P220" s="1">
        <v>0</v>
      </c>
    </row>
    <row r="221" spans="1:16" x14ac:dyDescent="0.3">
      <c r="A221" s="1" t="s">
        <v>220</v>
      </c>
      <c r="B221" s="1" t="s">
        <v>221</v>
      </c>
      <c r="C221" s="1" t="s">
        <v>168</v>
      </c>
      <c r="D221" s="1">
        <v>3889971</v>
      </c>
      <c r="E221" s="1">
        <v>105</v>
      </c>
      <c r="F221" s="1">
        <v>74</v>
      </c>
      <c r="G221" s="1">
        <v>113773</v>
      </c>
      <c r="H221" s="1">
        <v>61.35006173567875</v>
      </c>
      <c r="I221" s="1">
        <v>22.580113974810811</v>
      </c>
      <c r="J221" s="1">
        <v>0</v>
      </c>
      <c r="K221" s="1">
        <v>54</v>
      </c>
      <c r="L221" s="1">
        <v>67</v>
      </c>
      <c r="M221" s="1">
        <v>77</v>
      </c>
      <c r="N221" s="1">
        <v>104</v>
      </c>
      <c r="O221" s="1">
        <v>84</v>
      </c>
      <c r="P221" s="1">
        <v>2.1593525027281109E-5</v>
      </c>
    </row>
    <row r="222" spans="1:16" x14ac:dyDescent="0.3">
      <c r="A222" s="1" t="s">
        <v>220</v>
      </c>
      <c r="B222" s="1" t="s">
        <v>221</v>
      </c>
      <c r="C222" s="1" t="s">
        <v>215</v>
      </c>
      <c r="D222" s="1">
        <v>3890055</v>
      </c>
      <c r="E222" s="1">
        <v>9373</v>
      </c>
      <c r="F222" s="7">
        <v>44641</v>
      </c>
      <c r="G222" s="1">
        <v>4941</v>
      </c>
      <c r="H222" s="7">
        <v>43493.312412037027</v>
      </c>
      <c r="I222" s="1"/>
      <c r="J222" s="7">
        <v>35903</v>
      </c>
      <c r="K222" s="7">
        <v>42693</v>
      </c>
      <c r="L222" s="7">
        <v>44387</v>
      </c>
      <c r="M222" s="7">
        <v>44854</v>
      </c>
      <c r="N222" s="7">
        <v>45291</v>
      </c>
      <c r="O222" s="1">
        <v>0</v>
      </c>
      <c r="P222" s="1">
        <v>0</v>
      </c>
    </row>
    <row r="223" spans="1:16" x14ac:dyDescent="0.3">
      <c r="A223" s="1" t="s">
        <v>220</v>
      </c>
      <c r="B223" s="1" t="s">
        <v>221</v>
      </c>
      <c r="C223" s="1" t="s">
        <v>240</v>
      </c>
      <c r="D223" s="1">
        <v>14493</v>
      </c>
      <c r="E223" s="1">
        <v>1532</v>
      </c>
      <c r="F223" s="7">
        <v>44634</v>
      </c>
      <c r="G223" s="1">
        <v>88</v>
      </c>
      <c r="H223" s="7">
        <v>43871.121851932869</v>
      </c>
      <c r="I223" s="1"/>
      <c r="J223" s="7">
        <v>41533</v>
      </c>
      <c r="K223" s="7">
        <v>43077</v>
      </c>
      <c r="L223" s="7">
        <v>44152</v>
      </c>
      <c r="M223" s="7">
        <v>44782</v>
      </c>
      <c r="N223" s="7">
        <v>45289</v>
      </c>
      <c r="O223" s="1">
        <v>3875562</v>
      </c>
      <c r="P223" s="1">
        <v>0.99627434573547158</v>
      </c>
    </row>
    <row r="224" spans="1:16" x14ac:dyDescent="0.3">
      <c r="A224" s="1" t="s">
        <v>220</v>
      </c>
      <c r="B224" s="1" t="s">
        <v>221</v>
      </c>
      <c r="C224" s="1" t="s">
        <v>218</v>
      </c>
      <c r="D224" s="1">
        <v>318324</v>
      </c>
      <c r="E224" s="1">
        <v>101135</v>
      </c>
      <c r="F224" s="1" t="s">
        <v>241</v>
      </c>
      <c r="G224" s="1">
        <v>52719</v>
      </c>
      <c r="H224" s="1"/>
      <c r="I224" s="1"/>
      <c r="J224" s="1"/>
      <c r="K224" s="1"/>
      <c r="L224" s="1"/>
      <c r="M224" s="1"/>
      <c r="N224" s="1"/>
      <c r="O224" s="1">
        <v>3571731</v>
      </c>
      <c r="P224" s="1">
        <v>0.91816979451447345</v>
      </c>
    </row>
    <row r="225" spans="1:16" x14ac:dyDescent="0.3">
      <c r="A225" s="1" t="s">
        <v>220</v>
      </c>
      <c r="B225" s="1" t="s">
        <v>221</v>
      </c>
      <c r="C225" s="1" t="s">
        <v>242</v>
      </c>
      <c r="D225" s="1">
        <v>261133</v>
      </c>
      <c r="E225" s="1">
        <v>37613</v>
      </c>
      <c r="F225" s="1" t="s">
        <v>243</v>
      </c>
      <c r="G225" s="1">
        <v>89219</v>
      </c>
      <c r="H225" s="1"/>
      <c r="I225" s="1"/>
      <c r="J225" s="1"/>
      <c r="K225" s="1"/>
      <c r="L225" s="1"/>
      <c r="M225" s="1"/>
      <c r="N225" s="1"/>
      <c r="O225" s="1">
        <v>3628922</v>
      </c>
      <c r="P225" s="1">
        <v>0.9328716432029881</v>
      </c>
    </row>
    <row r="226" spans="1:16" x14ac:dyDescent="0.3">
      <c r="A226" s="1" t="s">
        <v>220</v>
      </c>
      <c r="B226" s="1" t="s">
        <v>221</v>
      </c>
      <c r="C226" s="1" t="s">
        <v>244</v>
      </c>
      <c r="D226" s="1">
        <v>20406</v>
      </c>
      <c r="E226" s="1">
        <v>26</v>
      </c>
      <c r="F226" s="1" t="s">
        <v>245</v>
      </c>
      <c r="G226" s="1">
        <v>6567</v>
      </c>
      <c r="H226" s="1"/>
      <c r="I226" s="1"/>
      <c r="J226" s="1"/>
      <c r="K226" s="1"/>
      <c r="L226" s="1"/>
      <c r="M226" s="1"/>
      <c r="N226" s="1"/>
      <c r="O226" s="1">
        <v>3869649</v>
      </c>
      <c r="P226" s="1">
        <v>0.99475431581301554</v>
      </c>
    </row>
    <row r="227" spans="1:16" x14ac:dyDescent="0.3">
      <c r="A227" s="1" t="s">
        <v>220</v>
      </c>
      <c r="B227" s="1" t="s">
        <v>221</v>
      </c>
      <c r="C227" s="1" t="s">
        <v>91</v>
      </c>
      <c r="D227" s="1">
        <v>328628</v>
      </c>
      <c r="E227" s="1">
        <v>49</v>
      </c>
      <c r="F227" s="1" t="s">
        <v>246</v>
      </c>
      <c r="G227" s="1">
        <v>79474</v>
      </c>
      <c r="H227" s="1"/>
      <c r="I227" s="1"/>
      <c r="J227" s="1"/>
      <c r="K227" s="1"/>
      <c r="L227" s="1"/>
      <c r="M227" s="1"/>
      <c r="N227" s="1"/>
      <c r="O227" s="1">
        <v>3561427</v>
      </c>
      <c r="P227" s="1">
        <v>0.91552098877779364</v>
      </c>
    </row>
    <row r="228" spans="1:16" x14ac:dyDescent="0.3">
      <c r="A228" s="1" t="s">
        <v>247</v>
      </c>
      <c r="B228" s="1" t="s">
        <v>248</v>
      </c>
      <c r="C228" s="1" t="s">
        <v>249</v>
      </c>
      <c r="D228" s="1">
        <v>6147</v>
      </c>
      <c r="E228" s="1">
        <v>6147</v>
      </c>
      <c r="F228" s="1">
        <v>1</v>
      </c>
      <c r="G228" s="1">
        <v>1</v>
      </c>
      <c r="H228" s="1">
        <v>3074</v>
      </c>
      <c r="I228" s="1">
        <v>1774.6303840518451</v>
      </c>
      <c r="J228" s="1">
        <v>1</v>
      </c>
      <c r="K228" s="1">
        <v>1537.5</v>
      </c>
      <c r="L228" s="1">
        <v>3074</v>
      </c>
      <c r="M228" s="1">
        <v>4610.5</v>
      </c>
      <c r="N228" s="1">
        <v>6147</v>
      </c>
      <c r="O228" s="1">
        <v>0</v>
      </c>
      <c r="P228" s="1">
        <v>0</v>
      </c>
    </row>
    <row r="229" spans="1:16" x14ac:dyDescent="0.3">
      <c r="A229" s="1" t="s">
        <v>247</v>
      </c>
      <c r="B229" s="1" t="s">
        <v>248</v>
      </c>
      <c r="C229" s="1" t="s">
        <v>51</v>
      </c>
      <c r="D229" s="1">
        <v>6147</v>
      </c>
      <c r="E229" s="1">
        <v>6147</v>
      </c>
      <c r="F229" s="1">
        <v>1</v>
      </c>
      <c r="G229" s="1">
        <v>1</v>
      </c>
      <c r="H229" s="1">
        <v>3074</v>
      </c>
      <c r="I229" s="1">
        <v>1774.6303840518451</v>
      </c>
      <c r="J229" s="1">
        <v>1</v>
      </c>
      <c r="K229" s="1">
        <v>1537.5</v>
      </c>
      <c r="L229" s="1">
        <v>3074</v>
      </c>
      <c r="M229" s="1">
        <v>4610.5</v>
      </c>
      <c r="N229" s="1">
        <v>6147</v>
      </c>
      <c r="O229" s="1">
        <v>0</v>
      </c>
      <c r="P229" s="1">
        <v>0</v>
      </c>
    </row>
    <row r="230" spans="1:16" x14ac:dyDescent="0.3">
      <c r="A230" s="1" t="s">
        <v>247</v>
      </c>
      <c r="B230" s="1" t="s">
        <v>248</v>
      </c>
      <c r="C230" s="1" t="s">
        <v>250</v>
      </c>
      <c r="D230" s="1">
        <v>6147</v>
      </c>
      <c r="E230" s="1">
        <v>4079</v>
      </c>
      <c r="F230" s="7">
        <v>44643</v>
      </c>
      <c r="G230" s="1">
        <v>10</v>
      </c>
      <c r="H230" s="7">
        <v>40349.727021307866</v>
      </c>
      <c r="I230" s="1"/>
      <c r="J230" s="7">
        <v>33183</v>
      </c>
      <c r="K230" s="7">
        <v>37200.5</v>
      </c>
      <c r="L230" s="7">
        <v>40079</v>
      </c>
      <c r="M230" s="7">
        <v>44181</v>
      </c>
      <c r="N230" s="7">
        <v>45291</v>
      </c>
      <c r="O230" s="1">
        <v>0</v>
      </c>
      <c r="P230" s="1">
        <v>0</v>
      </c>
    </row>
    <row r="231" spans="1:16" x14ac:dyDescent="0.3">
      <c r="A231" s="1" t="s">
        <v>247</v>
      </c>
      <c r="B231" s="1" t="s">
        <v>248</v>
      </c>
      <c r="C231" s="1" t="s">
        <v>251</v>
      </c>
      <c r="D231" s="1">
        <v>6147</v>
      </c>
      <c r="E231" s="1">
        <v>2224</v>
      </c>
      <c r="F231" s="7">
        <v>44183</v>
      </c>
      <c r="G231" s="1">
        <v>31</v>
      </c>
      <c r="H231" s="7">
        <v>44167.977550023148</v>
      </c>
      <c r="I231" s="1"/>
      <c r="J231" s="7">
        <v>36094</v>
      </c>
      <c r="K231" s="7">
        <v>44323</v>
      </c>
      <c r="L231" s="7">
        <v>44938</v>
      </c>
      <c r="M231" s="7">
        <v>45260</v>
      </c>
      <c r="N231" s="7">
        <v>45470</v>
      </c>
      <c r="O231" s="1">
        <v>0</v>
      </c>
      <c r="P231" s="1">
        <v>0</v>
      </c>
    </row>
    <row r="232" spans="1:16" x14ac:dyDescent="0.3">
      <c r="A232" s="1" t="s">
        <v>247</v>
      </c>
      <c r="B232" s="1" t="s">
        <v>248</v>
      </c>
      <c r="C232" s="1" t="s">
        <v>252</v>
      </c>
      <c r="D232" s="1">
        <v>6147</v>
      </c>
      <c r="E232" s="1">
        <v>1</v>
      </c>
      <c r="F232" s="1">
        <v>44814724</v>
      </c>
      <c r="G232" s="1">
        <v>6147</v>
      </c>
      <c r="H232" s="1">
        <v>44814724</v>
      </c>
      <c r="I232" s="1">
        <v>0</v>
      </c>
      <c r="J232" s="1">
        <v>44814724</v>
      </c>
      <c r="K232" s="1">
        <v>44814724</v>
      </c>
      <c r="L232" s="1">
        <v>44814724</v>
      </c>
      <c r="M232" s="1">
        <v>44814724</v>
      </c>
      <c r="N232" s="1">
        <v>44814724</v>
      </c>
      <c r="O232" s="1">
        <v>0</v>
      </c>
      <c r="P232" s="1">
        <v>0</v>
      </c>
    </row>
    <row r="233" spans="1:16" x14ac:dyDescent="0.3">
      <c r="A233" s="1" t="s">
        <v>253</v>
      </c>
      <c r="B233" s="1" t="s">
        <v>254</v>
      </c>
      <c r="C233" s="1" t="s">
        <v>255</v>
      </c>
      <c r="D233" s="1">
        <v>649167</v>
      </c>
      <c r="E233" s="1">
        <v>59344</v>
      </c>
      <c r="F233" s="1" t="s">
        <v>256</v>
      </c>
      <c r="G233" s="1">
        <v>128</v>
      </c>
      <c r="H233" s="1"/>
      <c r="I233" s="1"/>
      <c r="J233" s="1"/>
      <c r="K233" s="1"/>
      <c r="L233" s="1"/>
      <c r="M233" s="1"/>
      <c r="N233" s="1"/>
      <c r="O233" s="1">
        <v>0</v>
      </c>
      <c r="P233" s="1">
        <v>0</v>
      </c>
    </row>
    <row r="234" spans="1:16" x14ac:dyDescent="0.3">
      <c r="A234" s="1" t="s">
        <v>253</v>
      </c>
      <c r="B234" s="1" t="s">
        <v>254</v>
      </c>
      <c r="C234" s="1" t="s">
        <v>257</v>
      </c>
      <c r="D234" s="1">
        <v>649167</v>
      </c>
      <c r="E234" s="1">
        <v>6673</v>
      </c>
      <c r="F234" s="1">
        <v>20240101</v>
      </c>
      <c r="G234" s="1">
        <v>26982</v>
      </c>
      <c r="H234" s="1">
        <v>20134120.706562411</v>
      </c>
      <c r="I234" s="1">
        <v>97198.376304016667</v>
      </c>
      <c r="J234" s="1">
        <v>10030220</v>
      </c>
      <c r="K234" s="1">
        <v>20090101</v>
      </c>
      <c r="L234" s="1">
        <v>20150826</v>
      </c>
      <c r="M234" s="1">
        <v>20190701</v>
      </c>
      <c r="N234" s="1">
        <v>20240401</v>
      </c>
      <c r="O234" s="1">
        <v>0</v>
      </c>
      <c r="P234" s="1">
        <v>0</v>
      </c>
    </row>
    <row r="235" spans="1:16" x14ac:dyDescent="0.3">
      <c r="A235" s="1" t="s">
        <v>253</v>
      </c>
      <c r="B235" s="1" t="s">
        <v>254</v>
      </c>
      <c r="C235" s="1" t="s">
        <v>258</v>
      </c>
      <c r="D235" s="1">
        <v>649167</v>
      </c>
      <c r="E235" s="1">
        <v>6019</v>
      </c>
      <c r="F235" s="1">
        <v>29991231</v>
      </c>
      <c r="G235" s="1">
        <v>36165</v>
      </c>
      <c r="H235" s="1">
        <v>20683761.929485019</v>
      </c>
      <c r="I235" s="1">
        <v>2262468.8497934081</v>
      </c>
      <c r="J235" s="1">
        <v>200203</v>
      </c>
      <c r="K235" s="1">
        <v>20091231</v>
      </c>
      <c r="L235" s="1">
        <v>20150930</v>
      </c>
      <c r="M235" s="1">
        <v>20200930</v>
      </c>
      <c r="N235" s="1">
        <v>30000101</v>
      </c>
      <c r="O235" s="1">
        <v>0</v>
      </c>
      <c r="P235" s="1">
        <v>0</v>
      </c>
    </row>
    <row r="236" spans="1:16" x14ac:dyDescent="0.3">
      <c r="A236" s="1" t="s">
        <v>253</v>
      </c>
      <c r="B236" s="1" t="s">
        <v>254</v>
      </c>
      <c r="C236" s="1" t="s">
        <v>259</v>
      </c>
      <c r="D236" s="1">
        <v>639564</v>
      </c>
      <c r="E236" s="1">
        <v>35125</v>
      </c>
      <c r="F236" s="1" t="s">
        <v>219</v>
      </c>
      <c r="G236" s="1">
        <v>24050</v>
      </c>
      <c r="H236" s="1"/>
      <c r="I236" s="1"/>
      <c r="J236" s="1"/>
      <c r="K236" s="1"/>
      <c r="L236" s="1"/>
      <c r="M236" s="1"/>
      <c r="N236" s="1"/>
      <c r="O236" s="1">
        <v>9603</v>
      </c>
      <c r="P236" s="1">
        <v>1.4792803700742639E-2</v>
      </c>
    </row>
    <row r="237" spans="1:16" x14ac:dyDescent="0.3">
      <c r="A237" s="1" t="s">
        <v>253</v>
      </c>
      <c r="B237" s="1" t="s">
        <v>254</v>
      </c>
      <c r="C237" s="1" t="s">
        <v>260</v>
      </c>
      <c r="D237" s="1">
        <v>649167</v>
      </c>
      <c r="E237" s="1">
        <v>50847</v>
      </c>
      <c r="F237" s="1" t="s">
        <v>219</v>
      </c>
      <c r="G237" s="1">
        <v>1182</v>
      </c>
      <c r="H237" s="1"/>
      <c r="I237" s="1"/>
      <c r="J237" s="1"/>
      <c r="K237" s="1"/>
      <c r="L237" s="1"/>
      <c r="M237" s="1"/>
      <c r="N237" s="1"/>
      <c r="O237" s="1">
        <v>0</v>
      </c>
      <c r="P237" s="1">
        <v>0</v>
      </c>
    </row>
    <row r="238" spans="1:16" x14ac:dyDescent="0.3">
      <c r="A238" s="1" t="s">
        <v>253</v>
      </c>
      <c r="B238" s="1" t="s">
        <v>254</v>
      </c>
      <c r="C238" s="1" t="s">
        <v>261</v>
      </c>
      <c r="D238" s="1">
        <v>640170</v>
      </c>
      <c r="E238" s="1">
        <v>68634</v>
      </c>
      <c r="F238" s="1" t="s">
        <v>219</v>
      </c>
      <c r="G238" s="1">
        <v>1231</v>
      </c>
      <c r="H238" s="1"/>
      <c r="I238" s="1"/>
      <c r="J238" s="1"/>
      <c r="K238" s="1"/>
      <c r="L238" s="1"/>
      <c r="M238" s="1"/>
      <c r="N238" s="1"/>
      <c r="O238" s="1">
        <v>8997</v>
      </c>
      <c r="P238" s="1">
        <v>1.3859299687137521E-2</v>
      </c>
    </row>
    <row r="239" spans="1:16" x14ac:dyDescent="0.3">
      <c r="A239" s="1" t="s">
        <v>253</v>
      </c>
      <c r="B239" s="1" t="s">
        <v>254</v>
      </c>
      <c r="C239" s="1" t="s">
        <v>262</v>
      </c>
      <c r="D239" s="1">
        <v>429671</v>
      </c>
      <c r="E239" s="1">
        <v>17512</v>
      </c>
      <c r="F239" s="1">
        <v>42089736</v>
      </c>
      <c r="G239" s="1">
        <v>3048</v>
      </c>
      <c r="H239" s="1">
        <v>41191599.318583287</v>
      </c>
      <c r="I239" s="1">
        <v>6636632.8569925027</v>
      </c>
      <c r="J239" s="1">
        <v>2008527</v>
      </c>
      <c r="K239" s="1">
        <v>42101573</v>
      </c>
      <c r="L239" s="1">
        <v>42338528</v>
      </c>
      <c r="M239" s="1">
        <v>42361622</v>
      </c>
      <c r="N239" s="1">
        <v>43008977</v>
      </c>
      <c r="O239" s="1">
        <v>219496</v>
      </c>
      <c r="P239" s="1">
        <v>0.33811946694764211</v>
      </c>
    </row>
    <row r="240" spans="1:16" x14ac:dyDescent="0.3">
      <c r="A240" s="1" t="s">
        <v>253</v>
      </c>
      <c r="B240" s="1" t="s">
        <v>254</v>
      </c>
      <c r="C240" s="1" t="s">
        <v>263</v>
      </c>
      <c r="D240" s="1">
        <v>429671</v>
      </c>
      <c r="E240" s="1">
        <v>12726</v>
      </c>
      <c r="F240" s="1" t="s">
        <v>264</v>
      </c>
      <c r="G240" s="1">
        <v>3048</v>
      </c>
      <c r="H240" s="1"/>
      <c r="I240" s="1"/>
      <c r="J240" s="1"/>
      <c r="K240" s="1"/>
      <c r="L240" s="1"/>
      <c r="M240" s="1"/>
      <c r="N240" s="1"/>
      <c r="O240" s="1">
        <v>219496</v>
      </c>
      <c r="P240" s="1">
        <v>0.33811946694764211</v>
      </c>
    </row>
    <row r="241" spans="1:16" x14ac:dyDescent="0.3">
      <c r="A241" s="1" t="s">
        <v>253</v>
      </c>
      <c r="B241" s="1" t="s">
        <v>254</v>
      </c>
      <c r="C241" s="1" t="s">
        <v>265</v>
      </c>
      <c r="D241" s="1">
        <v>429671</v>
      </c>
      <c r="E241" s="1">
        <v>4</v>
      </c>
      <c r="F241" s="1" t="s">
        <v>266</v>
      </c>
      <c r="G241" s="1">
        <v>222358</v>
      </c>
      <c r="H241" s="1"/>
      <c r="I241" s="1"/>
      <c r="J241" s="1"/>
      <c r="K241" s="1"/>
      <c r="L241" s="1"/>
      <c r="M241" s="1"/>
      <c r="N241" s="1"/>
      <c r="O241" s="1">
        <v>219496</v>
      </c>
      <c r="P241" s="1">
        <v>0.33811946694764211</v>
      </c>
    </row>
    <row r="242" spans="1:16" x14ac:dyDescent="0.3">
      <c r="A242" s="1" t="s">
        <v>253</v>
      </c>
      <c r="B242" s="1" t="s">
        <v>254</v>
      </c>
      <c r="C242" s="1" t="s">
        <v>164</v>
      </c>
      <c r="D242" s="1">
        <v>429671</v>
      </c>
      <c r="E242" s="1">
        <v>2</v>
      </c>
      <c r="F242" s="1" t="s">
        <v>165</v>
      </c>
      <c r="G242" s="1">
        <v>389898</v>
      </c>
      <c r="H242" s="1"/>
      <c r="I242" s="1"/>
      <c r="J242" s="1"/>
      <c r="K242" s="1"/>
      <c r="L242" s="1"/>
      <c r="M242" s="1"/>
      <c r="N242" s="1"/>
      <c r="O242" s="1">
        <v>219496</v>
      </c>
      <c r="P242" s="1">
        <v>0.33811946694764211</v>
      </c>
    </row>
    <row r="243" spans="1:16" x14ac:dyDescent="0.3">
      <c r="A243" s="1" t="s">
        <v>253</v>
      </c>
      <c r="B243" s="1" t="s">
        <v>254</v>
      </c>
      <c r="C243" s="1" t="s">
        <v>267</v>
      </c>
      <c r="D243" s="1">
        <v>429671</v>
      </c>
      <c r="E243" s="1">
        <v>6</v>
      </c>
      <c r="F243" s="1" t="s">
        <v>268</v>
      </c>
      <c r="G243" s="1">
        <v>149470</v>
      </c>
      <c r="H243" s="1"/>
      <c r="I243" s="1"/>
      <c r="J243" s="1"/>
      <c r="K243" s="1"/>
      <c r="L243" s="1"/>
      <c r="M243" s="1"/>
      <c r="N243" s="1"/>
      <c r="O243" s="1">
        <v>219496</v>
      </c>
      <c r="P243" s="1">
        <v>0.33811946694764211</v>
      </c>
    </row>
    <row r="244" spans="1:16" x14ac:dyDescent="0.3">
      <c r="A244" s="1" t="s">
        <v>253</v>
      </c>
      <c r="B244" s="1" t="s">
        <v>254</v>
      </c>
      <c r="C244" s="1" t="s">
        <v>269</v>
      </c>
      <c r="D244" s="1">
        <v>187</v>
      </c>
      <c r="E244" s="1">
        <v>1</v>
      </c>
      <c r="F244" s="1" t="s">
        <v>270</v>
      </c>
      <c r="G244" s="1">
        <v>187</v>
      </c>
      <c r="H244" s="1"/>
      <c r="I244" s="1"/>
      <c r="J244" s="1"/>
      <c r="K244" s="1"/>
      <c r="L244" s="1"/>
      <c r="M244" s="1"/>
      <c r="N244" s="1"/>
      <c r="O244" s="1">
        <v>648980</v>
      </c>
      <c r="P244" s="1">
        <v>0.99971193853045515</v>
      </c>
    </row>
    <row r="245" spans="1:16" x14ac:dyDescent="0.3">
      <c r="A245" s="1" t="s">
        <v>253</v>
      </c>
      <c r="B245" s="1" t="s">
        <v>254</v>
      </c>
      <c r="C245" s="1" t="s">
        <v>271</v>
      </c>
      <c r="D245" s="1">
        <v>429671</v>
      </c>
      <c r="E245" s="1">
        <v>17512</v>
      </c>
      <c r="F245" s="1" t="s">
        <v>272</v>
      </c>
      <c r="G245" s="1">
        <v>3048</v>
      </c>
      <c r="H245" s="1"/>
      <c r="I245" s="1"/>
      <c r="J245" s="1"/>
      <c r="K245" s="1"/>
      <c r="L245" s="1"/>
      <c r="M245" s="1"/>
      <c r="N245" s="1"/>
      <c r="O245" s="1">
        <v>219496</v>
      </c>
      <c r="P245" s="1">
        <v>0.33811946694764211</v>
      </c>
    </row>
    <row r="246" spans="1:16" x14ac:dyDescent="0.3">
      <c r="A246" s="1" t="s">
        <v>253</v>
      </c>
      <c r="B246" s="1" t="s">
        <v>254</v>
      </c>
      <c r="C246" s="1" t="s">
        <v>273</v>
      </c>
      <c r="D246" s="1">
        <v>429671</v>
      </c>
      <c r="E246" s="1">
        <v>18</v>
      </c>
      <c r="F246" s="1" t="s">
        <v>274</v>
      </c>
      <c r="G246" s="1">
        <v>265439</v>
      </c>
      <c r="H246" s="1"/>
      <c r="I246" s="1"/>
      <c r="J246" s="1"/>
      <c r="K246" s="1"/>
      <c r="L246" s="1"/>
      <c r="M246" s="1"/>
      <c r="N246" s="1"/>
      <c r="O246" s="1">
        <v>219496</v>
      </c>
      <c r="P246" s="1">
        <v>0.33811946694764211</v>
      </c>
    </row>
    <row r="247" spans="1:16" x14ac:dyDescent="0.3">
      <c r="A247" s="1" t="s">
        <v>253</v>
      </c>
      <c r="B247" s="1" t="s">
        <v>254</v>
      </c>
      <c r="C247" s="1" t="s">
        <v>275</v>
      </c>
      <c r="D247" s="1">
        <v>429671</v>
      </c>
      <c r="E247" s="1">
        <v>1</v>
      </c>
      <c r="F247" s="1" t="s">
        <v>276</v>
      </c>
      <c r="G247" s="1">
        <v>429671</v>
      </c>
      <c r="H247" s="1"/>
      <c r="I247" s="1"/>
      <c r="J247" s="1"/>
      <c r="K247" s="1"/>
      <c r="L247" s="1"/>
      <c r="M247" s="1"/>
      <c r="N247" s="1"/>
      <c r="O247" s="1">
        <v>219496</v>
      </c>
      <c r="P247" s="1">
        <v>0.33811946694764211</v>
      </c>
    </row>
    <row r="248" spans="1:16" x14ac:dyDescent="0.3">
      <c r="A248" s="1" t="s">
        <v>253</v>
      </c>
      <c r="B248" s="1" t="s">
        <v>254</v>
      </c>
      <c r="C248" s="1" t="s">
        <v>277</v>
      </c>
      <c r="D248" s="1">
        <v>0</v>
      </c>
      <c r="E248" s="1">
        <v>0</v>
      </c>
      <c r="F248" s="1"/>
      <c r="G248" s="1">
        <v>0</v>
      </c>
      <c r="H248" s="1"/>
      <c r="I248" s="1"/>
      <c r="J248" s="1"/>
      <c r="K248" s="1"/>
      <c r="L248" s="1"/>
      <c r="M248" s="1"/>
      <c r="N248" s="1"/>
      <c r="O248" s="1">
        <v>649167</v>
      </c>
      <c r="P248" s="1">
        <v>1</v>
      </c>
    </row>
    <row r="249" spans="1:16" x14ac:dyDescent="0.3">
      <c r="A249" s="1" t="s">
        <v>253</v>
      </c>
      <c r="B249" s="1" t="s">
        <v>254</v>
      </c>
      <c r="C249" s="1" t="s">
        <v>278</v>
      </c>
      <c r="D249" s="1">
        <v>649167</v>
      </c>
      <c r="E249" s="1">
        <v>50847</v>
      </c>
      <c r="F249" s="1" t="s">
        <v>219</v>
      </c>
      <c r="G249" s="1">
        <v>1182</v>
      </c>
      <c r="H249" s="1"/>
      <c r="I249" s="1"/>
      <c r="J249" s="1"/>
      <c r="K249" s="1"/>
      <c r="L249" s="1"/>
      <c r="M249" s="1"/>
      <c r="N249" s="1"/>
      <c r="O249" s="1">
        <v>0</v>
      </c>
      <c r="P249" s="1">
        <v>0</v>
      </c>
    </row>
    <row r="250" spans="1:16" x14ac:dyDescent="0.3">
      <c r="A250" s="1" t="s">
        <v>253</v>
      </c>
      <c r="B250" s="1" t="s">
        <v>254</v>
      </c>
      <c r="C250" s="1" t="s">
        <v>279</v>
      </c>
      <c r="D250" s="1">
        <v>640170</v>
      </c>
      <c r="E250" s="1">
        <v>68634</v>
      </c>
      <c r="F250" s="1" t="s">
        <v>219</v>
      </c>
      <c r="G250" s="1">
        <v>1231</v>
      </c>
      <c r="H250" s="1"/>
      <c r="I250" s="1"/>
      <c r="J250" s="1"/>
      <c r="K250" s="1"/>
      <c r="L250" s="1"/>
      <c r="M250" s="1"/>
      <c r="N250" s="1"/>
      <c r="O250" s="1">
        <v>8997</v>
      </c>
      <c r="P250" s="1">
        <v>1.3859299687137521E-2</v>
      </c>
    </row>
    <row r="251" spans="1:16" x14ac:dyDescent="0.3">
      <c r="A251" s="1" t="s">
        <v>253</v>
      </c>
      <c r="B251" s="1" t="s">
        <v>254</v>
      </c>
      <c r="C251" s="1" t="s">
        <v>280</v>
      </c>
      <c r="D251" s="1">
        <v>45341</v>
      </c>
      <c r="E251" s="1">
        <v>4787</v>
      </c>
      <c r="F251" s="1" t="s">
        <v>281</v>
      </c>
      <c r="G251" s="1">
        <v>160</v>
      </c>
      <c r="H251" s="1"/>
      <c r="I251" s="1"/>
      <c r="J251" s="1"/>
      <c r="K251" s="1"/>
      <c r="L251" s="1"/>
      <c r="M251" s="1"/>
      <c r="N251" s="1"/>
      <c r="O251" s="1">
        <v>603826</v>
      </c>
      <c r="P251" s="1">
        <v>0.930155106467211</v>
      </c>
    </row>
    <row r="252" spans="1:16" x14ac:dyDescent="0.3">
      <c r="A252" s="1" t="s">
        <v>253</v>
      </c>
      <c r="B252" s="1" t="s">
        <v>254</v>
      </c>
      <c r="C252" s="1" t="s">
        <v>282</v>
      </c>
      <c r="D252" s="1">
        <v>45341</v>
      </c>
      <c r="E252" s="1">
        <v>339</v>
      </c>
      <c r="F252" s="1" t="s">
        <v>283</v>
      </c>
      <c r="G252" s="1">
        <v>1755</v>
      </c>
      <c r="H252" s="1"/>
      <c r="I252" s="1"/>
      <c r="J252" s="1"/>
      <c r="K252" s="1"/>
      <c r="L252" s="1"/>
      <c r="M252" s="1"/>
      <c r="N252" s="1"/>
      <c r="O252" s="1">
        <v>603826</v>
      </c>
      <c r="P252" s="1">
        <v>0.930155106467211</v>
      </c>
    </row>
    <row r="253" spans="1:16" x14ac:dyDescent="0.3">
      <c r="A253" s="1" t="s">
        <v>253</v>
      </c>
      <c r="B253" s="1" t="s">
        <v>254</v>
      </c>
      <c r="C253" s="1" t="s">
        <v>284</v>
      </c>
      <c r="D253" s="1">
        <v>45341</v>
      </c>
      <c r="E253" s="1">
        <v>629</v>
      </c>
      <c r="F253" s="1" t="s">
        <v>285</v>
      </c>
      <c r="G253" s="1">
        <v>2771</v>
      </c>
      <c r="H253" s="1"/>
      <c r="I253" s="1"/>
      <c r="J253" s="1"/>
      <c r="K253" s="1"/>
      <c r="L253" s="1"/>
      <c r="M253" s="1"/>
      <c r="N253" s="1"/>
      <c r="O253" s="1">
        <v>603826</v>
      </c>
      <c r="P253" s="1">
        <v>0.930155106467211</v>
      </c>
    </row>
    <row r="254" spans="1:16" x14ac:dyDescent="0.3">
      <c r="A254" s="1" t="s">
        <v>253</v>
      </c>
      <c r="B254" s="1" t="s">
        <v>254</v>
      </c>
      <c r="C254" s="1" t="s">
        <v>286</v>
      </c>
      <c r="D254" s="1">
        <v>45341</v>
      </c>
      <c r="E254" s="1">
        <v>29</v>
      </c>
      <c r="F254" s="1">
        <v>0</v>
      </c>
      <c r="G254" s="1">
        <v>32419</v>
      </c>
      <c r="H254" s="1">
        <v>0.55477382501488715</v>
      </c>
      <c r="I254" s="1">
        <v>9.587202472027311</v>
      </c>
      <c r="J254" s="1">
        <v>0</v>
      </c>
      <c r="K254" s="1">
        <v>0</v>
      </c>
      <c r="L254" s="1">
        <v>0</v>
      </c>
      <c r="M254" s="1">
        <v>1</v>
      </c>
      <c r="N254" s="1">
        <v>1000</v>
      </c>
      <c r="O254" s="1">
        <v>603826</v>
      </c>
      <c r="P254" s="1">
        <v>0.930155106467211</v>
      </c>
    </row>
    <row r="255" spans="1:16" x14ac:dyDescent="0.3">
      <c r="A255" s="1" t="s">
        <v>253</v>
      </c>
      <c r="B255" s="1" t="s">
        <v>254</v>
      </c>
      <c r="C255" s="1" t="s">
        <v>287</v>
      </c>
      <c r="D255" s="1">
        <v>12922</v>
      </c>
      <c r="E255" s="1">
        <v>18</v>
      </c>
      <c r="F255" s="1" t="s">
        <v>288</v>
      </c>
      <c r="G255" s="1">
        <v>4762</v>
      </c>
      <c r="H255" s="1"/>
      <c r="I255" s="1"/>
      <c r="J255" s="1"/>
      <c r="K255" s="1"/>
      <c r="L255" s="1"/>
      <c r="M255" s="1"/>
      <c r="N255" s="1"/>
      <c r="O255" s="1">
        <v>636245</v>
      </c>
      <c r="P255" s="1">
        <v>0.9800944903237534</v>
      </c>
    </row>
    <row r="256" spans="1:16" x14ac:dyDescent="0.3">
      <c r="A256" s="1" t="s">
        <v>253</v>
      </c>
      <c r="B256" s="1" t="s">
        <v>254</v>
      </c>
      <c r="C256" s="1" t="s">
        <v>289</v>
      </c>
      <c r="D256" s="1">
        <v>12922</v>
      </c>
      <c r="E256" s="1">
        <v>17</v>
      </c>
      <c r="F256" s="1" t="s">
        <v>290</v>
      </c>
      <c r="G256" s="1">
        <v>4780</v>
      </c>
      <c r="H256" s="1"/>
      <c r="I256" s="1"/>
      <c r="J256" s="1"/>
      <c r="K256" s="1"/>
      <c r="L256" s="1"/>
      <c r="M256" s="1"/>
      <c r="N256" s="1"/>
      <c r="O256" s="1">
        <v>636245</v>
      </c>
      <c r="P256" s="1">
        <v>0.9800944903237534</v>
      </c>
    </row>
    <row r="257" spans="1:16" x14ac:dyDescent="0.3">
      <c r="A257" s="1" t="s">
        <v>253</v>
      </c>
      <c r="B257" s="1" t="s">
        <v>254</v>
      </c>
      <c r="C257" s="1" t="s">
        <v>291</v>
      </c>
      <c r="D257" s="1">
        <v>45341</v>
      </c>
      <c r="E257" s="1">
        <v>4593</v>
      </c>
      <c r="F257" s="1">
        <v>2</v>
      </c>
      <c r="G257" s="1">
        <v>160</v>
      </c>
      <c r="H257" s="1">
        <v>201010471.433559</v>
      </c>
      <c r="I257" s="1">
        <v>35347847.263209082</v>
      </c>
      <c r="J257" s="1">
        <v>2</v>
      </c>
      <c r="K257" s="1">
        <v>199604958</v>
      </c>
      <c r="L257" s="1">
        <v>200308353</v>
      </c>
      <c r="M257" s="1">
        <v>200902333</v>
      </c>
      <c r="N257" s="1">
        <v>800003091</v>
      </c>
      <c r="O257" s="1">
        <v>603826</v>
      </c>
      <c r="P257" s="1">
        <v>0.930155106467211</v>
      </c>
    </row>
    <row r="258" spans="1:16" x14ac:dyDescent="0.3">
      <c r="A258" s="1" t="s">
        <v>253</v>
      </c>
      <c r="B258" s="1" t="s">
        <v>254</v>
      </c>
      <c r="C258" s="1" t="s">
        <v>292</v>
      </c>
      <c r="D258" s="1">
        <v>44997</v>
      </c>
      <c r="E258" s="1">
        <v>2936</v>
      </c>
      <c r="F258" s="1">
        <v>20041115</v>
      </c>
      <c r="G258" s="1">
        <v>243</v>
      </c>
      <c r="H258" s="1">
        <v>20016920.13807587</v>
      </c>
      <c r="I258" s="1">
        <v>110795.4110687912</v>
      </c>
      <c r="J258" s="1">
        <v>19550413</v>
      </c>
      <c r="K258" s="1">
        <v>19970204</v>
      </c>
      <c r="L258" s="1">
        <v>20031129</v>
      </c>
      <c r="M258" s="1">
        <v>20090302</v>
      </c>
      <c r="N258" s="1">
        <v>20310409</v>
      </c>
      <c r="O258" s="1">
        <v>604170</v>
      </c>
      <c r="P258" s="1">
        <v>0.93068501633632028</v>
      </c>
    </row>
    <row r="259" spans="1:16" x14ac:dyDescent="0.3">
      <c r="A259" s="1" t="s">
        <v>253</v>
      </c>
      <c r="B259" s="1" t="s">
        <v>254</v>
      </c>
      <c r="C259" s="1" t="s">
        <v>293</v>
      </c>
      <c r="D259" s="1">
        <v>44997</v>
      </c>
      <c r="E259" s="1">
        <v>3</v>
      </c>
      <c r="F259" s="1" t="s">
        <v>294</v>
      </c>
      <c r="G259" s="1">
        <v>42235</v>
      </c>
      <c r="H259" s="1"/>
      <c r="I259" s="1"/>
      <c r="J259" s="1"/>
      <c r="K259" s="1"/>
      <c r="L259" s="1"/>
      <c r="M259" s="1"/>
      <c r="N259" s="1"/>
      <c r="O259" s="1">
        <v>604170</v>
      </c>
      <c r="P259" s="1">
        <v>0.93068501633632028</v>
      </c>
    </row>
    <row r="260" spans="1:16" x14ac:dyDescent="0.3">
      <c r="A260" s="1" t="s">
        <v>253</v>
      </c>
      <c r="B260" s="1" t="s">
        <v>254</v>
      </c>
      <c r="C260" s="1" t="s">
        <v>295</v>
      </c>
      <c r="D260" s="1">
        <v>45341</v>
      </c>
      <c r="E260" s="1">
        <v>5287</v>
      </c>
      <c r="F260" s="1">
        <v>8806999000203</v>
      </c>
      <c r="G260" s="1">
        <v>160</v>
      </c>
      <c r="H260" s="1">
        <v>8806444564845.6777</v>
      </c>
      <c r="I260" s="1">
        <v>676423172.69731855</v>
      </c>
      <c r="J260" s="1">
        <v>8800500000102</v>
      </c>
      <c r="K260" s="1">
        <v>8806436000704</v>
      </c>
      <c r="L260" s="1">
        <v>8806489022708</v>
      </c>
      <c r="M260" s="1">
        <v>8806554015406</v>
      </c>
      <c r="N260" s="1">
        <v>8806999170500</v>
      </c>
      <c r="O260" s="1">
        <v>603826</v>
      </c>
      <c r="P260" s="1">
        <v>0.930155106467211</v>
      </c>
    </row>
    <row r="261" spans="1:16" x14ac:dyDescent="0.3">
      <c r="A261" s="1" t="s">
        <v>253</v>
      </c>
      <c r="B261" s="1" t="s">
        <v>254</v>
      </c>
      <c r="C261" s="1" t="s">
        <v>296</v>
      </c>
      <c r="D261" s="1">
        <v>45341</v>
      </c>
      <c r="E261" s="1">
        <v>6566</v>
      </c>
      <c r="F261" s="1">
        <v>699900020</v>
      </c>
      <c r="G261" s="1">
        <v>160</v>
      </c>
      <c r="H261" s="1">
        <v>644456484.68050992</v>
      </c>
      <c r="I261" s="1">
        <v>67642317.209566399</v>
      </c>
      <c r="J261" s="1">
        <v>50000010</v>
      </c>
      <c r="K261" s="1">
        <v>643600070</v>
      </c>
      <c r="L261" s="1">
        <v>648902271</v>
      </c>
      <c r="M261" s="1">
        <v>655401540</v>
      </c>
      <c r="N261" s="1">
        <v>699917050</v>
      </c>
      <c r="O261" s="1">
        <v>603826</v>
      </c>
      <c r="P261" s="1">
        <v>0.930155106467211</v>
      </c>
    </row>
    <row r="262" spans="1:16" x14ac:dyDescent="0.3">
      <c r="A262" s="1" t="s">
        <v>253</v>
      </c>
      <c r="B262" s="1" t="s">
        <v>254</v>
      </c>
      <c r="C262" s="1" t="s">
        <v>297</v>
      </c>
      <c r="D262" s="1">
        <v>26627</v>
      </c>
      <c r="E262" s="1">
        <v>3162</v>
      </c>
      <c r="F262" s="1">
        <v>699900020</v>
      </c>
      <c r="G262" s="1">
        <v>160</v>
      </c>
      <c r="H262" s="1">
        <v>642438772.65200734</v>
      </c>
      <c r="I262" s="1">
        <v>73803412.163881406</v>
      </c>
      <c r="J262" s="1">
        <v>50100010</v>
      </c>
      <c r="K262" s="1">
        <v>643302280</v>
      </c>
      <c r="L262" s="1">
        <v>648901182</v>
      </c>
      <c r="M262" s="1">
        <v>653801510</v>
      </c>
      <c r="N262" s="1">
        <v>699917050</v>
      </c>
      <c r="O262" s="1">
        <v>622540</v>
      </c>
      <c r="P262" s="1">
        <v>0.95898281952101694</v>
      </c>
    </row>
    <row r="263" spans="1:16" x14ac:dyDescent="0.3">
      <c r="A263" s="1" t="s">
        <v>253</v>
      </c>
      <c r="B263" s="1" t="s">
        <v>254</v>
      </c>
      <c r="C263" s="1" t="s">
        <v>298</v>
      </c>
      <c r="D263" s="1">
        <v>30445</v>
      </c>
      <c r="E263" s="1">
        <v>3045</v>
      </c>
      <c r="F263" s="1" t="s">
        <v>299</v>
      </c>
      <c r="G263" s="1">
        <v>160</v>
      </c>
      <c r="H263" s="1"/>
      <c r="I263" s="1"/>
      <c r="J263" s="1"/>
      <c r="K263" s="1"/>
      <c r="L263" s="1"/>
      <c r="M263" s="1"/>
      <c r="N263" s="1"/>
      <c r="O263" s="1">
        <v>618722</v>
      </c>
      <c r="P263" s="1">
        <v>0.95310143614817144</v>
      </c>
    </row>
    <row r="264" spans="1:16" x14ac:dyDescent="0.3">
      <c r="A264" s="1" t="s">
        <v>253</v>
      </c>
      <c r="B264" s="1" t="s">
        <v>254</v>
      </c>
      <c r="C264" s="1" t="s">
        <v>300</v>
      </c>
      <c r="D264" s="1">
        <v>6106</v>
      </c>
      <c r="E264" s="1">
        <v>588</v>
      </c>
      <c r="F264" s="1" t="s">
        <v>301</v>
      </c>
      <c r="G264" s="1">
        <v>206</v>
      </c>
      <c r="H264" s="1"/>
      <c r="I264" s="1"/>
      <c r="J264" s="1"/>
      <c r="K264" s="1"/>
      <c r="L264" s="1"/>
      <c r="M264" s="1"/>
      <c r="N264" s="1"/>
      <c r="O264" s="1">
        <v>643061</v>
      </c>
      <c r="P264" s="1">
        <v>0.99059409982331204</v>
      </c>
    </row>
    <row r="265" spans="1:16" x14ac:dyDescent="0.3">
      <c r="A265" s="1" t="s">
        <v>253</v>
      </c>
      <c r="B265" s="1" t="s">
        <v>254</v>
      </c>
      <c r="C265" s="1" t="s">
        <v>302</v>
      </c>
      <c r="D265" s="1">
        <v>4242</v>
      </c>
      <c r="E265" s="1">
        <v>462</v>
      </c>
      <c r="F265" s="1" t="s">
        <v>303</v>
      </c>
      <c r="G265" s="1">
        <v>109</v>
      </c>
      <c r="H265" s="1"/>
      <c r="I265" s="1"/>
      <c r="J265" s="1"/>
      <c r="K265" s="1"/>
      <c r="L265" s="1"/>
      <c r="M265" s="1"/>
      <c r="N265" s="1"/>
      <c r="O265" s="1">
        <v>644925</v>
      </c>
      <c r="P265" s="1">
        <v>0.99346547190476409</v>
      </c>
    </row>
    <row r="266" spans="1:16" x14ac:dyDescent="0.3">
      <c r="A266" s="1" t="s">
        <v>253</v>
      </c>
      <c r="B266" s="1" t="s">
        <v>254</v>
      </c>
      <c r="C266" s="1" t="s">
        <v>304</v>
      </c>
      <c r="D266" s="1">
        <v>7767</v>
      </c>
      <c r="E266" s="1">
        <v>362</v>
      </c>
      <c r="F266" s="1">
        <v>20090119</v>
      </c>
      <c r="G266" s="1">
        <v>2122</v>
      </c>
      <c r="H266" s="1">
        <v>20116330.89906013</v>
      </c>
      <c r="I266" s="1">
        <v>35574.494358176416</v>
      </c>
      <c r="J266" s="1">
        <v>20080125</v>
      </c>
      <c r="K266" s="1">
        <v>20090119</v>
      </c>
      <c r="L266" s="1">
        <v>20100601</v>
      </c>
      <c r="M266" s="1">
        <v>20131101</v>
      </c>
      <c r="N266" s="1">
        <v>20230406</v>
      </c>
      <c r="O266" s="1">
        <v>641400</v>
      </c>
      <c r="P266" s="1">
        <v>0.98803543618206102</v>
      </c>
    </row>
    <row r="267" spans="1:16" x14ac:dyDescent="0.3">
      <c r="A267" s="1" t="s">
        <v>253</v>
      </c>
      <c r="B267" s="1" t="s">
        <v>254</v>
      </c>
      <c r="C267" s="1" t="s">
        <v>305</v>
      </c>
      <c r="D267" s="1">
        <v>7767</v>
      </c>
      <c r="E267" s="1">
        <v>289</v>
      </c>
      <c r="F267" s="1">
        <v>99991231</v>
      </c>
      <c r="G267" s="1">
        <v>3371</v>
      </c>
      <c r="H267" s="1">
        <v>54820854.979528777</v>
      </c>
      <c r="I267" s="1">
        <v>39557815.70188047</v>
      </c>
      <c r="J267" s="1">
        <v>20090810</v>
      </c>
      <c r="K267" s="1">
        <v>20180625</v>
      </c>
      <c r="L267" s="1">
        <v>20221228</v>
      </c>
      <c r="M267" s="1">
        <v>99991231</v>
      </c>
      <c r="N267" s="1">
        <v>99991231</v>
      </c>
      <c r="O267" s="1">
        <v>641400</v>
      </c>
      <c r="P267" s="1">
        <v>0.98803543618206102</v>
      </c>
    </row>
    <row r="268" spans="1:16" x14ac:dyDescent="0.3">
      <c r="A268" s="1" t="s">
        <v>253</v>
      </c>
      <c r="B268" s="1" t="s">
        <v>254</v>
      </c>
      <c r="C268" s="1" t="s">
        <v>306</v>
      </c>
      <c r="D268" s="1">
        <v>45341</v>
      </c>
      <c r="E268" s="1">
        <v>2</v>
      </c>
      <c r="F268" s="1" t="s">
        <v>31</v>
      </c>
      <c r="G268" s="1">
        <v>36277</v>
      </c>
      <c r="H268" s="1"/>
      <c r="I268" s="1"/>
      <c r="J268" s="1"/>
      <c r="K268" s="1"/>
      <c r="L268" s="1"/>
      <c r="M268" s="1"/>
      <c r="N268" s="1"/>
      <c r="O268" s="1">
        <v>603826</v>
      </c>
      <c r="P268" s="1">
        <v>0.930155106467211</v>
      </c>
    </row>
    <row r="269" spans="1:16" x14ac:dyDescent="0.3">
      <c r="A269" s="1" t="s">
        <v>253</v>
      </c>
      <c r="B269" s="1" t="s">
        <v>254</v>
      </c>
      <c r="C269" s="1" t="s">
        <v>307</v>
      </c>
      <c r="D269" s="1">
        <v>9064</v>
      </c>
      <c r="E269" s="1">
        <v>10</v>
      </c>
      <c r="F269" s="1" t="s">
        <v>308</v>
      </c>
      <c r="G269" s="1">
        <v>2694</v>
      </c>
      <c r="H269" s="1"/>
      <c r="I269" s="1"/>
      <c r="J269" s="1"/>
      <c r="K269" s="1"/>
      <c r="L269" s="1"/>
      <c r="M269" s="1"/>
      <c r="N269" s="1"/>
      <c r="O269" s="1">
        <v>640103</v>
      </c>
      <c r="P269" s="1">
        <v>0.98603749112323946</v>
      </c>
    </row>
    <row r="270" spans="1:16" x14ac:dyDescent="0.3">
      <c r="A270" s="1" t="s">
        <v>253</v>
      </c>
      <c r="B270" s="1" t="s">
        <v>254</v>
      </c>
      <c r="C270" s="1" t="s">
        <v>176</v>
      </c>
      <c r="D270" s="1">
        <v>45029</v>
      </c>
      <c r="E270" s="1">
        <v>1625</v>
      </c>
      <c r="F270" s="1" t="s">
        <v>309</v>
      </c>
      <c r="G270" s="1">
        <v>363</v>
      </c>
      <c r="H270" s="1"/>
      <c r="I270" s="1"/>
      <c r="J270" s="1"/>
      <c r="K270" s="1"/>
      <c r="L270" s="1"/>
      <c r="M270" s="1"/>
      <c r="N270" s="1"/>
      <c r="O270" s="1">
        <v>604138</v>
      </c>
      <c r="P270" s="1">
        <v>0.9306357223950078</v>
      </c>
    </row>
    <row r="271" spans="1:16" x14ac:dyDescent="0.3">
      <c r="A271" s="1" t="s">
        <v>253</v>
      </c>
      <c r="B271" s="1" t="s">
        <v>254</v>
      </c>
      <c r="C271" s="1" t="s">
        <v>310</v>
      </c>
      <c r="D271" s="1">
        <v>45181</v>
      </c>
      <c r="E271" s="1">
        <v>9</v>
      </c>
      <c r="F271" s="1" t="s">
        <v>311</v>
      </c>
      <c r="G271" s="1">
        <v>37383</v>
      </c>
      <c r="H271" s="1"/>
      <c r="I271" s="1"/>
      <c r="J271" s="1"/>
      <c r="K271" s="1"/>
      <c r="L271" s="1"/>
      <c r="M271" s="1"/>
      <c r="N271" s="1"/>
      <c r="O271" s="1">
        <v>603986</v>
      </c>
      <c r="P271" s="1">
        <v>0.9304015761737735</v>
      </c>
    </row>
    <row r="272" spans="1:16" x14ac:dyDescent="0.3">
      <c r="A272" s="1" t="s">
        <v>253</v>
      </c>
      <c r="B272" s="1" t="s">
        <v>254</v>
      </c>
      <c r="C272" s="1" t="s">
        <v>312</v>
      </c>
      <c r="D272" s="1">
        <v>45341</v>
      </c>
      <c r="E272" s="1">
        <v>2</v>
      </c>
      <c r="F272" s="1" t="s">
        <v>313</v>
      </c>
      <c r="G272" s="1">
        <v>43711</v>
      </c>
      <c r="H272" s="1"/>
      <c r="I272" s="1"/>
      <c r="J272" s="1"/>
      <c r="K272" s="1"/>
      <c r="L272" s="1"/>
      <c r="M272" s="1"/>
      <c r="N272" s="1"/>
      <c r="O272" s="1">
        <v>603826</v>
      </c>
      <c r="P272" s="1">
        <v>0.930155106467211</v>
      </c>
    </row>
    <row r="273" spans="1:16" x14ac:dyDescent="0.3">
      <c r="A273" s="1" t="s">
        <v>253</v>
      </c>
      <c r="B273" s="1" t="s">
        <v>254</v>
      </c>
      <c r="C273" s="1" t="s">
        <v>314</v>
      </c>
      <c r="D273" s="1">
        <v>45029</v>
      </c>
      <c r="E273" s="1">
        <v>1625</v>
      </c>
      <c r="F273" s="1" t="s">
        <v>309</v>
      </c>
      <c r="G273" s="1">
        <v>363</v>
      </c>
      <c r="H273" s="1"/>
      <c r="I273" s="1"/>
      <c r="J273" s="1"/>
      <c r="K273" s="1"/>
      <c r="L273" s="1"/>
      <c r="M273" s="1"/>
      <c r="N273" s="1"/>
      <c r="O273" s="1">
        <v>604138</v>
      </c>
      <c r="P273" s="1">
        <v>0.9306357223950078</v>
      </c>
    </row>
    <row r="274" spans="1:16" x14ac:dyDescent="0.3">
      <c r="A274" s="1" t="s">
        <v>253</v>
      </c>
      <c r="B274" s="1" t="s">
        <v>254</v>
      </c>
      <c r="C274" s="1" t="s">
        <v>178</v>
      </c>
      <c r="D274" s="1">
        <v>45029</v>
      </c>
      <c r="E274" s="1">
        <v>1531</v>
      </c>
      <c r="F274" s="1" t="s">
        <v>315</v>
      </c>
      <c r="G274" s="1">
        <v>514</v>
      </c>
      <c r="H274" s="1"/>
      <c r="I274" s="1"/>
      <c r="J274" s="1"/>
      <c r="K274" s="1"/>
      <c r="L274" s="1"/>
      <c r="M274" s="1"/>
      <c r="N274" s="1"/>
      <c r="O274" s="1">
        <v>604138</v>
      </c>
      <c r="P274" s="1">
        <v>0.9306357223950078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H19" sqref="H19"/>
    </sheetView>
    <sheetView workbookViewId="1"/>
  </sheetViews>
  <sheetFormatPr defaultRowHeight="16.5" x14ac:dyDescent="0.3"/>
  <cols>
    <col min="1" max="1" width="13.875" style="3" customWidth="1"/>
    <col min="2" max="2" width="13.375" style="3" bestFit="1" customWidth="1"/>
    <col min="3" max="3" width="26.125" style="3" bestFit="1" customWidth="1"/>
    <col min="5" max="5" width="18.625" style="3" bestFit="1" customWidth="1"/>
    <col min="6" max="6" width="43.25" style="3" bestFit="1" customWidth="1"/>
    <col min="7" max="8" width="14.375" style="3" bestFit="1" customWidth="1"/>
    <col min="10" max="10" width="12.375" style="3" bestFit="1" customWidth="1"/>
    <col min="11" max="11" width="14.375" style="3" bestFit="1" customWidth="1"/>
  </cols>
  <sheetData>
    <row r="1" spans="1:11" x14ac:dyDescent="0.3">
      <c r="A1" s="1" t="s">
        <v>0</v>
      </c>
      <c r="B1" s="1" t="s">
        <v>5</v>
      </c>
      <c r="C1" s="1" t="s">
        <v>6</v>
      </c>
      <c r="D1" s="1" t="s">
        <v>316</v>
      </c>
      <c r="E1" s="1" t="s">
        <v>317</v>
      </c>
      <c r="F1" s="1" t="s">
        <v>318</v>
      </c>
      <c r="G1" s="1" t="s">
        <v>431</v>
      </c>
      <c r="H1" s="1" t="s">
        <v>432</v>
      </c>
      <c r="I1" s="1" t="s">
        <v>433</v>
      </c>
      <c r="J1" s="1" t="s">
        <v>434</v>
      </c>
      <c r="K1" s="4" t="s">
        <v>435</v>
      </c>
    </row>
    <row r="2" spans="1:11" x14ac:dyDescent="0.3">
      <c r="A2" s="1" t="s">
        <v>436</v>
      </c>
      <c r="B2" s="1" t="s">
        <v>181</v>
      </c>
      <c r="C2" s="1" t="s">
        <v>204</v>
      </c>
      <c r="D2" s="1" t="s">
        <v>437</v>
      </c>
      <c r="E2" s="1" t="s">
        <v>438</v>
      </c>
      <c r="F2" s="1" t="s">
        <v>439</v>
      </c>
      <c r="G2" s="1">
        <v>144888</v>
      </c>
      <c r="H2" s="1">
        <v>13568812</v>
      </c>
      <c r="I2" s="1">
        <v>5974</v>
      </c>
      <c r="J2" s="1">
        <v>6133</v>
      </c>
      <c r="K2" s="1">
        <v>0.97407467797162894</v>
      </c>
    </row>
    <row r="3" spans="1:11" x14ac:dyDescent="0.3">
      <c r="A3" s="1" t="s">
        <v>440</v>
      </c>
      <c r="B3" s="1" t="s">
        <v>181</v>
      </c>
      <c r="C3" s="1" t="s">
        <v>204</v>
      </c>
      <c r="D3" s="1" t="s">
        <v>437</v>
      </c>
      <c r="E3" s="1" t="s">
        <v>438</v>
      </c>
      <c r="F3" s="1" t="s">
        <v>441</v>
      </c>
      <c r="G3" s="1">
        <v>144888</v>
      </c>
      <c r="H3" s="1">
        <v>13568812</v>
      </c>
      <c r="I3" s="1">
        <v>5974</v>
      </c>
      <c r="J3" s="1">
        <v>6133</v>
      </c>
      <c r="K3" s="1">
        <v>0.97407467797162894</v>
      </c>
    </row>
    <row r="4" spans="1:11" x14ac:dyDescent="0.3">
      <c r="A4" s="1" t="s">
        <v>442</v>
      </c>
      <c r="B4" s="1" t="s">
        <v>181</v>
      </c>
      <c r="C4" s="1" t="s">
        <v>204</v>
      </c>
      <c r="D4" s="1" t="s">
        <v>437</v>
      </c>
      <c r="E4" s="1" t="s">
        <v>438</v>
      </c>
      <c r="F4" s="1" t="s">
        <v>443</v>
      </c>
      <c r="G4" s="1">
        <v>144888</v>
      </c>
      <c r="H4" s="1">
        <v>13568812</v>
      </c>
      <c r="I4" s="1">
        <v>5974</v>
      </c>
      <c r="J4" s="1">
        <v>6133</v>
      </c>
      <c r="K4" s="1">
        <v>0.97407467797162894</v>
      </c>
    </row>
    <row r="5" spans="1:11" x14ac:dyDescent="0.3">
      <c r="A5" s="1" t="s">
        <v>444</v>
      </c>
      <c r="B5" s="1" t="s">
        <v>181</v>
      </c>
      <c r="C5" s="1" t="s">
        <v>204</v>
      </c>
      <c r="D5" s="1" t="s">
        <v>437</v>
      </c>
      <c r="E5" s="1" t="s">
        <v>438</v>
      </c>
      <c r="F5" s="1" t="s">
        <v>445</v>
      </c>
      <c r="G5" s="1">
        <v>144888</v>
      </c>
      <c r="H5" s="1">
        <v>13568812</v>
      </c>
      <c r="I5" s="1">
        <v>5974</v>
      </c>
      <c r="J5" s="1">
        <v>6133</v>
      </c>
      <c r="K5" s="1">
        <v>0.97407467797162894</v>
      </c>
    </row>
    <row r="6" spans="1:11" x14ac:dyDescent="0.3">
      <c r="A6" s="1" t="s">
        <v>446</v>
      </c>
      <c r="B6" s="1" t="s">
        <v>181</v>
      </c>
      <c r="C6" s="1" t="s">
        <v>204</v>
      </c>
      <c r="D6" s="1" t="s">
        <v>437</v>
      </c>
      <c r="E6" s="1" t="s">
        <v>438</v>
      </c>
      <c r="F6" s="1" t="s">
        <v>447</v>
      </c>
      <c r="G6" s="1">
        <v>107510</v>
      </c>
      <c r="H6" s="1">
        <v>13568812</v>
      </c>
      <c r="I6" s="1">
        <v>5549</v>
      </c>
      <c r="J6" s="1">
        <v>6133</v>
      </c>
      <c r="K6" s="1">
        <v>0.90477743355617157</v>
      </c>
    </row>
    <row r="7" spans="1:11" x14ac:dyDescent="0.3">
      <c r="A7" s="1" t="s">
        <v>448</v>
      </c>
      <c r="B7" s="1" t="s">
        <v>181</v>
      </c>
      <c r="C7" s="1" t="s">
        <v>204</v>
      </c>
      <c r="D7" s="1" t="s">
        <v>437</v>
      </c>
      <c r="E7" s="1" t="s">
        <v>438</v>
      </c>
      <c r="F7" s="1" t="s">
        <v>449</v>
      </c>
      <c r="G7" s="1">
        <v>107510</v>
      </c>
      <c r="H7" s="1">
        <v>13568812</v>
      </c>
      <c r="I7" s="1">
        <v>5549</v>
      </c>
      <c r="J7" s="1">
        <v>6133</v>
      </c>
      <c r="K7" s="1">
        <v>0.90477743355617157</v>
      </c>
    </row>
    <row r="8" spans="1:11" x14ac:dyDescent="0.3">
      <c r="A8" s="1" t="s">
        <v>450</v>
      </c>
      <c r="B8" s="1" t="s">
        <v>181</v>
      </c>
      <c r="C8" s="1" t="s">
        <v>204</v>
      </c>
      <c r="D8" s="1" t="s">
        <v>437</v>
      </c>
      <c r="E8" s="1" t="s">
        <v>438</v>
      </c>
      <c r="F8" s="1" t="s">
        <v>451</v>
      </c>
      <c r="G8" s="1">
        <v>107510</v>
      </c>
      <c r="H8" s="1">
        <v>13568812</v>
      </c>
      <c r="I8" s="1">
        <v>5549</v>
      </c>
      <c r="J8" s="1">
        <v>6133</v>
      </c>
      <c r="K8" s="1">
        <v>0.90477743355617157</v>
      </c>
    </row>
    <row r="9" spans="1:11" x14ac:dyDescent="0.3">
      <c r="A9" s="1" t="s">
        <v>452</v>
      </c>
      <c r="B9" s="1" t="s">
        <v>181</v>
      </c>
      <c r="C9" s="1" t="s">
        <v>204</v>
      </c>
      <c r="D9" s="1" t="s">
        <v>437</v>
      </c>
      <c r="E9" s="1" t="s">
        <v>438</v>
      </c>
      <c r="F9" s="1" t="s">
        <v>453</v>
      </c>
      <c r="G9" s="1">
        <v>122868</v>
      </c>
      <c r="H9" s="1">
        <v>13568812</v>
      </c>
      <c r="I9" s="1">
        <v>6013</v>
      </c>
      <c r="J9" s="1">
        <v>6133</v>
      </c>
      <c r="K9" s="1">
        <v>0.9804337192238709</v>
      </c>
    </row>
    <row r="10" spans="1:11" x14ac:dyDescent="0.3">
      <c r="A10" s="1" t="s">
        <v>454</v>
      </c>
      <c r="B10" s="1" t="s">
        <v>181</v>
      </c>
      <c r="C10" s="1" t="s">
        <v>204</v>
      </c>
      <c r="D10" s="1" t="s">
        <v>437</v>
      </c>
      <c r="E10" s="1" t="s">
        <v>438</v>
      </c>
      <c r="F10" s="1" t="s">
        <v>455</v>
      </c>
      <c r="G10" s="1">
        <v>123010</v>
      </c>
      <c r="H10" s="1">
        <v>13568812</v>
      </c>
      <c r="I10" s="1">
        <v>6013</v>
      </c>
      <c r="J10" s="1">
        <v>6133</v>
      </c>
      <c r="K10" s="1">
        <v>0.9804337192238709</v>
      </c>
    </row>
    <row r="11" spans="1:11" x14ac:dyDescent="0.3">
      <c r="A11" s="1" t="s">
        <v>456</v>
      </c>
      <c r="B11" s="1" t="s">
        <v>181</v>
      </c>
      <c r="C11" s="1" t="s">
        <v>204</v>
      </c>
      <c r="D11" s="1" t="s">
        <v>437</v>
      </c>
      <c r="E11" s="1" t="s">
        <v>438</v>
      </c>
      <c r="F11" s="1" t="s">
        <v>457</v>
      </c>
      <c r="G11" s="1">
        <v>109477</v>
      </c>
      <c r="H11" s="1">
        <v>13568812</v>
      </c>
      <c r="I11" s="1">
        <v>5951</v>
      </c>
      <c r="J11" s="1">
        <v>6133</v>
      </c>
      <c r="K11" s="1">
        <v>0.97032447415620415</v>
      </c>
    </row>
    <row r="12" spans="1:11" x14ac:dyDescent="0.3">
      <c r="A12" s="1" t="s">
        <v>458</v>
      </c>
      <c r="B12" s="1" t="s">
        <v>181</v>
      </c>
      <c r="C12" s="1" t="s">
        <v>204</v>
      </c>
      <c r="D12" s="1" t="s">
        <v>437</v>
      </c>
      <c r="E12" s="1" t="s">
        <v>438</v>
      </c>
      <c r="F12" s="1" t="s">
        <v>459</v>
      </c>
      <c r="G12" s="1">
        <v>109434</v>
      </c>
      <c r="H12" s="1">
        <v>13568812</v>
      </c>
      <c r="I12" s="1">
        <v>5952</v>
      </c>
      <c r="J12" s="1">
        <v>6133</v>
      </c>
      <c r="K12" s="1">
        <v>0.97048752649600523</v>
      </c>
    </row>
    <row r="13" spans="1:11" x14ac:dyDescent="0.3">
      <c r="A13" s="1" t="s">
        <v>460</v>
      </c>
      <c r="B13" s="1" t="s">
        <v>181</v>
      </c>
      <c r="C13" s="1" t="s">
        <v>204</v>
      </c>
      <c r="D13" s="1" t="s">
        <v>437</v>
      </c>
      <c r="E13" s="1" t="s">
        <v>438</v>
      </c>
      <c r="F13" s="1" t="s">
        <v>461</v>
      </c>
      <c r="G13" s="1">
        <v>98541</v>
      </c>
      <c r="H13" s="1">
        <v>13568812</v>
      </c>
      <c r="I13" s="1">
        <v>5922</v>
      </c>
      <c r="J13" s="1">
        <v>6133</v>
      </c>
      <c r="K13" s="1">
        <v>0.96559595630197292</v>
      </c>
    </row>
    <row r="14" spans="1:11" x14ac:dyDescent="0.3">
      <c r="A14" s="1" t="s">
        <v>462</v>
      </c>
      <c r="B14" s="1" t="s">
        <v>181</v>
      </c>
      <c r="C14" s="1" t="s">
        <v>204</v>
      </c>
      <c r="D14" s="1" t="s">
        <v>437</v>
      </c>
      <c r="E14" s="1" t="s">
        <v>438</v>
      </c>
      <c r="F14" s="1" t="s">
        <v>463</v>
      </c>
      <c r="G14" s="1">
        <v>97089</v>
      </c>
      <c r="H14" s="1">
        <v>13568812</v>
      </c>
      <c r="I14" s="1">
        <v>5907</v>
      </c>
      <c r="J14" s="1">
        <v>6133</v>
      </c>
      <c r="K14" s="1">
        <v>0.96315017120495683</v>
      </c>
    </row>
    <row r="15" spans="1:11" x14ac:dyDescent="0.3">
      <c r="A15" s="1" t="s">
        <v>464</v>
      </c>
      <c r="B15" s="1" t="s">
        <v>181</v>
      </c>
      <c r="C15" s="1" t="s">
        <v>204</v>
      </c>
      <c r="D15" s="1" t="s">
        <v>437</v>
      </c>
      <c r="E15" s="1" t="s">
        <v>438</v>
      </c>
      <c r="F15" s="1" t="s">
        <v>465</v>
      </c>
      <c r="G15" s="1">
        <v>104129</v>
      </c>
      <c r="H15" s="1">
        <v>13568812</v>
      </c>
      <c r="I15" s="1">
        <v>5919</v>
      </c>
      <c r="J15" s="1">
        <v>6133</v>
      </c>
      <c r="K15" s="1">
        <v>0.96510679928256971</v>
      </c>
    </row>
    <row r="16" spans="1:11" x14ac:dyDescent="0.3">
      <c r="A16" s="1" t="s">
        <v>466</v>
      </c>
      <c r="B16" s="1" t="s">
        <v>181</v>
      </c>
      <c r="C16" s="1" t="s">
        <v>204</v>
      </c>
      <c r="D16" s="1" t="s">
        <v>437</v>
      </c>
      <c r="E16" s="1" t="s">
        <v>438</v>
      </c>
      <c r="F16" s="1" t="s">
        <v>467</v>
      </c>
      <c r="G16" s="1">
        <v>109504</v>
      </c>
      <c r="H16" s="1">
        <v>13568812</v>
      </c>
      <c r="I16" s="1">
        <v>5884</v>
      </c>
      <c r="J16" s="1">
        <v>6133</v>
      </c>
      <c r="K16" s="1">
        <v>0.95939996738953204</v>
      </c>
    </row>
    <row r="17" spans="1:11" x14ac:dyDescent="0.3">
      <c r="A17" s="1" t="s">
        <v>468</v>
      </c>
      <c r="B17" s="1" t="s">
        <v>181</v>
      </c>
      <c r="C17" s="1" t="s">
        <v>204</v>
      </c>
      <c r="D17" s="1" t="s">
        <v>437</v>
      </c>
      <c r="E17" s="1" t="s">
        <v>438</v>
      </c>
      <c r="F17" s="1" t="s">
        <v>469</v>
      </c>
      <c r="G17" s="1">
        <v>63039</v>
      </c>
      <c r="H17" s="1">
        <v>13568812</v>
      </c>
      <c r="I17" s="1">
        <v>5209</v>
      </c>
      <c r="J17" s="1">
        <v>6133</v>
      </c>
      <c r="K17" s="1">
        <v>0.84933963802380563</v>
      </c>
    </row>
    <row r="18" spans="1:11" x14ac:dyDescent="0.3">
      <c r="A18" s="1" t="s">
        <v>470</v>
      </c>
      <c r="B18" s="1" t="s">
        <v>181</v>
      </c>
      <c r="C18" s="1" t="s">
        <v>204</v>
      </c>
      <c r="D18" s="1" t="s">
        <v>437</v>
      </c>
      <c r="E18" s="1" t="s">
        <v>438</v>
      </c>
      <c r="F18" s="1" t="s">
        <v>471</v>
      </c>
      <c r="G18" s="1">
        <v>59607</v>
      </c>
      <c r="H18" s="1">
        <v>13568812</v>
      </c>
      <c r="I18" s="1">
        <v>3915</v>
      </c>
      <c r="J18" s="1">
        <v>6133</v>
      </c>
      <c r="K18" s="1">
        <v>0.63834991032121313</v>
      </c>
    </row>
    <row r="19" spans="1:11" x14ac:dyDescent="0.3">
      <c r="A19" s="1" t="s">
        <v>472</v>
      </c>
      <c r="B19" s="1" t="s">
        <v>181</v>
      </c>
      <c r="C19" s="1" t="s">
        <v>204</v>
      </c>
      <c r="D19" s="1" t="s">
        <v>437</v>
      </c>
      <c r="E19" s="1" t="s">
        <v>438</v>
      </c>
      <c r="F19" s="1" t="s">
        <v>473</v>
      </c>
      <c r="G19" s="1">
        <v>82020</v>
      </c>
      <c r="H19" s="1">
        <v>13568812</v>
      </c>
      <c r="I19" s="1">
        <v>5673</v>
      </c>
      <c r="J19" s="1">
        <v>6133</v>
      </c>
      <c r="K19" s="1">
        <v>0.92499592369150496</v>
      </c>
    </row>
    <row r="20" spans="1:11" x14ac:dyDescent="0.3">
      <c r="A20" s="1" t="s">
        <v>474</v>
      </c>
      <c r="B20" s="1" t="s">
        <v>181</v>
      </c>
      <c r="C20" s="1" t="s">
        <v>204</v>
      </c>
      <c r="D20" s="1" t="s">
        <v>437</v>
      </c>
      <c r="E20" s="1" t="s">
        <v>438</v>
      </c>
      <c r="F20" s="1" t="s">
        <v>475</v>
      </c>
      <c r="G20" s="1">
        <v>3817</v>
      </c>
      <c r="H20" s="1">
        <v>13568812</v>
      </c>
      <c r="I20" s="1">
        <v>1283</v>
      </c>
      <c r="J20" s="1">
        <v>6133</v>
      </c>
      <c r="K20" s="1">
        <v>0.2091961519647807</v>
      </c>
    </row>
    <row r="21" spans="1:11" x14ac:dyDescent="0.3">
      <c r="A21" s="1" t="s">
        <v>476</v>
      </c>
      <c r="B21" s="1" t="s">
        <v>181</v>
      </c>
      <c r="C21" s="1" t="s">
        <v>204</v>
      </c>
      <c r="D21" s="1" t="s">
        <v>437</v>
      </c>
      <c r="E21" s="1" t="s">
        <v>438</v>
      </c>
      <c r="F21" s="1" t="s">
        <v>477</v>
      </c>
      <c r="G21" s="1">
        <v>16928</v>
      </c>
      <c r="H21" s="1">
        <v>13568812</v>
      </c>
      <c r="I21" s="1">
        <v>3767</v>
      </c>
      <c r="J21" s="1">
        <v>6133</v>
      </c>
      <c r="K21" s="1">
        <v>0.61421816403065388</v>
      </c>
    </row>
    <row r="22" spans="1:11" x14ac:dyDescent="0.3">
      <c r="A22" s="1" t="s">
        <v>478</v>
      </c>
      <c r="B22" s="1" t="s">
        <v>181</v>
      </c>
      <c r="C22" s="1" t="s">
        <v>204</v>
      </c>
      <c r="D22" s="1" t="s">
        <v>437</v>
      </c>
      <c r="E22" s="1" t="s">
        <v>438</v>
      </c>
      <c r="F22" s="1" t="s">
        <v>479</v>
      </c>
      <c r="G22" s="1">
        <v>12601</v>
      </c>
      <c r="H22" s="1">
        <v>13568812</v>
      </c>
      <c r="I22" s="1">
        <v>4180</v>
      </c>
      <c r="J22" s="1">
        <v>6133</v>
      </c>
      <c r="K22" s="1">
        <v>0.68155878036849826</v>
      </c>
    </row>
    <row r="23" spans="1:11" x14ac:dyDescent="0.3">
      <c r="A23" s="1" t="s">
        <v>480</v>
      </c>
      <c r="B23" s="1" t="s">
        <v>181</v>
      </c>
      <c r="C23" s="1" t="s">
        <v>204</v>
      </c>
      <c r="D23" s="1" t="s">
        <v>437</v>
      </c>
      <c r="E23" s="1" t="s">
        <v>541</v>
      </c>
      <c r="F23" s="1" t="s">
        <v>481</v>
      </c>
      <c r="G23" s="1">
        <v>96636</v>
      </c>
      <c r="H23" s="1">
        <v>13568812</v>
      </c>
      <c r="I23" s="1">
        <v>4524</v>
      </c>
      <c r="J23" s="1">
        <v>6133</v>
      </c>
      <c r="K23" s="1">
        <v>0.7376487852600685</v>
      </c>
    </row>
    <row r="24" spans="1:11" x14ac:dyDescent="0.3">
      <c r="A24" s="1" t="s">
        <v>482</v>
      </c>
      <c r="B24" s="1" t="s">
        <v>181</v>
      </c>
      <c r="C24" s="1" t="s">
        <v>204</v>
      </c>
      <c r="D24" s="1" t="s">
        <v>437</v>
      </c>
      <c r="E24" s="1" t="s">
        <v>438</v>
      </c>
      <c r="F24" s="1" t="s">
        <v>483</v>
      </c>
      <c r="G24" s="1">
        <v>96636</v>
      </c>
      <c r="H24" s="1">
        <v>13568812</v>
      </c>
      <c r="I24" s="1">
        <v>4524</v>
      </c>
      <c r="J24" s="1">
        <v>6133</v>
      </c>
      <c r="K24" s="1">
        <v>0.7376487852600685</v>
      </c>
    </row>
    <row r="25" spans="1:11" x14ac:dyDescent="0.3">
      <c r="A25" s="1" t="s">
        <v>484</v>
      </c>
      <c r="B25" s="1" t="s">
        <v>181</v>
      </c>
      <c r="C25" s="1" t="s">
        <v>204</v>
      </c>
      <c r="D25" s="1" t="s">
        <v>437</v>
      </c>
      <c r="E25" s="1" t="s">
        <v>438</v>
      </c>
      <c r="F25" s="1" t="s">
        <v>485</v>
      </c>
      <c r="G25" s="1">
        <v>96636</v>
      </c>
      <c r="H25" s="1">
        <v>13568812</v>
      </c>
      <c r="I25" s="1">
        <v>4524</v>
      </c>
      <c r="J25" s="1">
        <v>6133</v>
      </c>
      <c r="K25" s="1">
        <v>0.7376487852600685</v>
      </c>
    </row>
    <row r="26" spans="1:11" x14ac:dyDescent="0.3">
      <c r="A26" s="1" t="s">
        <v>486</v>
      </c>
      <c r="B26" s="1" t="s">
        <v>181</v>
      </c>
      <c r="C26" s="1" t="s">
        <v>204</v>
      </c>
      <c r="D26" s="1" t="s">
        <v>437</v>
      </c>
      <c r="E26" s="1" t="s">
        <v>438</v>
      </c>
      <c r="F26" s="1" t="s">
        <v>487</v>
      </c>
      <c r="G26" s="1">
        <v>692471</v>
      </c>
      <c r="H26" s="1">
        <v>13568812</v>
      </c>
      <c r="I26" s="1">
        <v>5110</v>
      </c>
      <c r="J26" s="1">
        <v>6133</v>
      </c>
      <c r="K26" s="1">
        <v>0.83319745638349907</v>
      </c>
    </row>
    <row r="27" spans="1:11" x14ac:dyDescent="0.3">
      <c r="A27" s="1" t="s">
        <v>488</v>
      </c>
      <c r="B27" s="1" t="s">
        <v>181</v>
      </c>
      <c r="C27" s="1" t="s">
        <v>204</v>
      </c>
      <c r="D27" s="1" t="s">
        <v>437</v>
      </c>
      <c r="E27" s="1" t="s">
        <v>438</v>
      </c>
      <c r="F27" s="1" t="s">
        <v>489</v>
      </c>
      <c r="G27" s="1">
        <v>720111</v>
      </c>
      <c r="H27" s="1">
        <v>13568812</v>
      </c>
      <c r="I27" s="1">
        <v>4690</v>
      </c>
      <c r="J27" s="1">
        <v>6133</v>
      </c>
      <c r="K27" s="1">
        <v>0.76471547366704717</v>
      </c>
    </row>
    <row r="28" spans="1:11" x14ac:dyDescent="0.3">
      <c r="A28" s="1" t="s">
        <v>490</v>
      </c>
      <c r="B28" s="1" t="s">
        <v>181</v>
      </c>
      <c r="C28" s="1" t="s">
        <v>204</v>
      </c>
      <c r="D28" s="1" t="s">
        <v>437</v>
      </c>
      <c r="E28" s="1" t="s">
        <v>438</v>
      </c>
      <c r="F28" s="1" t="s">
        <v>491</v>
      </c>
      <c r="G28" s="1">
        <v>720078</v>
      </c>
      <c r="H28" s="1">
        <v>13568812</v>
      </c>
      <c r="I28" s="1">
        <v>4688</v>
      </c>
      <c r="J28" s="1">
        <v>6133</v>
      </c>
      <c r="K28" s="1">
        <v>0.76438936898744492</v>
      </c>
    </row>
    <row r="29" spans="1:11" x14ac:dyDescent="0.3">
      <c r="A29" s="1" t="s">
        <v>492</v>
      </c>
      <c r="B29" s="1" t="s">
        <v>181</v>
      </c>
      <c r="C29" s="1" t="s">
        <v>204</v>
      </c>
      <c r="D29" s="1" t="s">
        <v>437</v>
      </c>
      <c r="E29" s="1" t="s">
        <v>438</v>
      </c>
      <c r="F29" s="1" t="s">
        <v>493</v>
      </c>
      <c r="G29" s="1">
        <v>724849</v>
      </c>
      <c r="H29" s="1">
        <v>13568812</v>
      </c>
      <c r="I29" s="1">
        <v>5170</v>
      </c>
      <c r="J29" s="1">
        <v>6133</v>
      </c>
      <c r="K29" s="1">
        <v>0.84298059677156367</v>
      </c>
    </row>
    <row r="30" spans="1:11" x14ac:dyDescent="0.3">
      <c r="A30" s="1" t="s">
        <v>494</v>
      </c>
      <c r="B30" s="1" t="s">
        <v>181</v>
      </c>
      <c r="C30" s="1" t="s">
        <v>204</v>
      </c>
      <c r="D30" s="1" t="s">
        <v>437</v>
      </c>
      <c r="E30" s="1" t="s">
        <v>438</v>
      </c>
      <c r="F30" s="1" t="s">
        <v>495</v>
      </c>
      <c r="G30" s="1">
        <v>664431</v>
      </c>
      <c r="H30" s="1">
        <v>13568812</v>
      </c>
      <c r="I30" s="1">
        <v>5059</v>
      </c>
      <c r="J30" s="1">
        <v>6133</v>
      </c>
      <c r="K30" s="1">
        <v>0.82488178705364423</v>
      </c>
    </row>
    <row r="31" spans="1:11" x14ac:dyDescent="0.3">
      <c r="A31" s="1" t="s">
        <v>496</v>
      </c>
      <c r="B31" s="1" t="s">
        <v>181</v>
      </c>
      <c r="C31" s="1" t="s">
        <v>204</v>
      </c>
      <c r="D31" s="1" t="s">
        <v>437</v>
      </c>
      <c r="E31" s="1" t="s">
        <v>438</v>
      </c>
      <c r="F31" s="1" t="s">
        <v>497</v>
      </c>
      <c r="G31" s="1">
        <v>645972</v>
      </c>
      <c r="H31" s="1">
        <v>13568812</v>
      </c>
      <c r="I31" s="1">
        <v>3497</v>
      </c>
      <c r="J31" s="1">
        <v>6133</v>
      </c>
      <c r="K31" s="1">
        <v>0.57019403228436327</v>
      </c>
    </row>
    <row r="32" spans="1:11" x14ac:dyDescent="0.3">
      <c r="A32" s="1" t="s">
        <v>498</v>
      </c>
      <c r="B32" s="1" t="s">
        <v>181</v>
      </c>
      <c r="C32" s="1" t="s">
        <v>204</v>
      </c>
      <c r="D32" s="1" t="s">
        <v>437</v>
      </c>
      <c r="E32" s="1" t="s">
        <v>438</v>
      </c>
      <c r="F32" s="1" t="s">
        <v>499</v>
      </c>
      <c r="G32" s="1">
        <v>651941</v>
      </c>
      <c r="H32" s="1">
        <v>13568812</v>
      </c>
      <c r="I32" s="1">
        <v>4048</v>
      </c>
      <c r="J32" s="1">
        <v>6133</v>
      </c>
      <c r="K32" s="1">
        <v>0.66003587151475629</v>
      </c>
    </row>
    <row r="33" spans="1:11" x14ac:dyDescent="0.3">
      <c r="A33" s="1" t="s">
        <v>500</v>
      </c>
      <c r="B33" s="1" t="s">
        <v>181</v>
      </c>
      <c r="C33" s="1" t="s">
        <v>204</v>
      </c>
      <c r="D33" s="1" t="s">
        <v>437</v>
      </c>
      <c r="E33" s="1" t="s">
        <v>438</v>
      </c>
      <c r="F33" s="1" t="s">
        <v>501</v>
      </c>
      <c r="G33" s="1">
        <v>656187</v>
      </c>
      <c r="H33" s="1">
        <v>13568812</v>
      </c>
      <c r="I33" s="1">
        <v>4129</v>
      </c>
      <c r="J33" s="1">
        <v>6133</v>
      </c>
      <c r="K33" s="1">
        <v>0.67324311103864343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51"/>
  <sheetViews>
    <sheetView workbookViewId="0">
      <selection activeCell="G25" sqref="G25"/>
    </sheetView>
    <sheetView workbookViewId="1"/>
  </sheetViews>
  <sheetFormatPr defaultRowHeight="16.5" x14ac:dyDescent="0.3"/>
  <cols>
    <col min="2" max="2" width="20.625" style="3" bestFit="1" customWidth="1"/>
    <col min="3" max="3" width="28.25" style="3" bestFit="1" customWidth="1"/>
    <col min="5" max="5" width="15.125" style="3" bestFit="1" customWidth="1"/>
    <col min="6" max="6" width="62.375" style="3" customWidth="1"/>
    <col min="7" max="8" width="9.625" style="3" bestFit="1" customWidth="1"/>
    <col min="9" max="9" width="11.625" style="3" bestFit="1" customWidth="1"/>
  </cols>
  <sheetData>
    <row r="1" spans="1:9" x14ac:dyDescent="0.3">
      <c r="A1" s="1" t="s">
        <v>0</v>
      </c>
      <c r="B1" s="1" t="s">
        <v>5</v>
      </c>
      <c r="C1" s="1" t="s">
        <v>6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</row>
    <row r="2" spans="1:9" x14ac:dyDescent="0.3">
      <c r="A2" s="1" t="s">
        <v>322</v>
      </c>
      <c r="B2" s="1" t="s">
        <v>50</v>
      </c>
      <c r="C2" s="1" t="s">
        <v>58</v>
      </c>
      <c r="D2" s="1" t="s">
        <v>323</v>
      </c>
      <c r="E2" s="2" t="s">
        <v>324</v>
      </c>
      <c r="F2" s="1" t="s">
        <v>325</v>
      </c>
      <c r="G2" s="1">
        <v>0</v>
      </c>
      <c r="H2" s="1">
        <v>6147</v>
      </c>
      <c r="I2" s="1">
        <v>0</v>
      </c>
    </row>
    <row r="3" spans="1:9" hidden="1" x14ac:dyDescent="0.3">
      <c r="A3" s="1" t="s">
        <v>326</v>
      </c>
      <c r="B3" s="1" t="s">
        <v>50</v>
      </c>
      <c r="C3" s="1" t="s">
        <v>58</v>
      </c>
      <c r="D3" s="1" t="s">
        <v>327</v>
      </c>
      <c r="E3" s="1" t="s">
        <v>328</v>
      </c>
      <c r="F3" s="1" t="s">
        <v>329</v>
      </c>
      <c r="G3" s="1">
        <v>0</v>
      </c>
      <c r="H3" s="1">
        <v>6147</v>
      </c>
      <c r="I3" s="1">
        <v>0</v>
      </c>
    </row>
    <row r="4" spans="1:9" hidden="1" x14ac:dyDescent="0.3">
      <c r="A4" s="1" t="s">
        <v>330</v>
      </c>
      <c r="B4" s="1" t="s">
        <v>50</v>
      </c>
      <c r="C4" s="1" t="s">
        <v>38</v>
      </c>
      <c r="D4" s="1" t="s">
        <v>331</v>
      </c>
      <c r="E4" s="1" t="s">
        <v>332</v>
      </c>
      <c r="F4" s="1" t="s">
        <v>333</v>
      </c>
      <c r="G4" s="1">
        <v>0</v>
      </c>
      <c r="H4" s="1">
        <v>6147</v>
      </c>
      <c r="I4" s="1">
        <v>0</v>
      </c>
    </row>
    <row r="5" spans="1:9" hidden="1" x14ac:dyDescent="0.3">
      <c r="A5" s="1" t="s">
        <v>334</v>
      </c>
      <c r="B5" s="1" t="s">
        <v>50</v>
      </c>
      <c r="C5" s="1" t="s">
        <v>52</v>
      </c>
      <c r="D5" s="1" t="s">
        <v>331</v>
      </c>
      <c r="E5" s="1" t="s">
        <v>332</v>
      </c>
      <c r="F5" s="1" t="s">
        <v>335</v>
      </c>
      <c r="G5" s="1">
        <v>0</v>
      </c>
      <c r="H5" s="1">
        <v>6147</v>
      </c>
      <c r="I5" s="1">
        <v>0</v>
      </c>
    </row>
    <row r="6" spans="1:9" hidden="1" x14ac:dyDescent="0.3">
      <c r="A6" s="1" t="s">
        <v>336</v>
      </c>
      <c r="B6" s="1" t="s">
        <v>50</v>
      </c>
      <c r="C6" s="1" t="s">
        <v>53</v>
      </c>
      <c r="D6" s="1" t="s">
        <v>331</v>
      </c>
      <c r="E6" s="1" t="s">
        <v>332</v>
      </c>
      <c r="F6" s="1" t="s">
        <v>337</v>
      </c>
      <c r="G6" s="1">
        <v>0</v>
      </c>
      <c r="H6" s="1">
        <v>6147</v>
      </c>
      <c r="I6" s="1">
        <v>0</v>
      </c>
    </row>
    <row r="7" spans="1:9" x14ac:dyDescent="0.3">
      <c r="A7" s="1" t="s">
        <v>338</v>
      </c>
      <c r="B7" s="1" t="s">
        <v>50</v>
      </c>
      <c r="C7" s="1" t="s">
        <v>47</v>
      </c>
      <c r="D7" s="2" t="s">
        <v>323</v>
      </c>
      <c r="E7" s="2" t="s">
        <v>324</v>
      </c>
      <c r="F7" s="1" t="s">
        <v>339</v>
      </c>
      <c r="G7" s="1">
        <v>0</v>
      </c>
      <c r="H7" s="1">
        <v>6147</v>
      </c>
      <c r="I7" s="1">
        <v>0</v>
      </c>
    </row>
    <row r="8" spans="1:9" hidden="1" x14ac:dyDescent="0.3">
      <c r="A8" s="1" t="s">
        <v>340</v>
      </c>
      <c r="B8" s="1" t="s">
        <v>50</v>
      </c>
      <c r="C8" s="1" t="s">
        <v>55</v>
      </c>
      <c r="D8" s="1" t="s">
        <v>331</v>
      </c>
      <c r="E8" s="1" t="s">
        <v>341</v>
      </c>
      <c r="F8" s="1" t="s">
        <v>342</v>
      </c>
      <c r="G8" s="1">
        <v>0</v>
      </c>
      <c r="H8" s="1">
        <v>6147</v>
      </c>
      <c r="I8" s="1">
        <v>0</v>
      </c>
    </row>
    <row r="9" spans="1:9" x14ac:dyDescent="0.3">
      <c r="A9" s="1" t="s">
        <v>343</v>
      </c>
      <c r="B9" s="1" t="s">
        <v>1</v>
      </c>
      <c r="C9" s="1" t="s">
        <v>71</v>
      </c>
      <c r="D9" s="1" t="s">
        <v>323</v>
      </c>
      <c r="E9" s="2" t="s">
        <v>324</v>
      </c>
      <c r="F9" s="1" t="s">
        <v>344</v>
      </c>
      <c r="G9" s="1">
        <v>0</v>
      </c>
      <c r="H9" s="1">
        <v>456446</v>
      </c>
      <c r="I9" s="1">
        <v>0</v>
      </c>
    </row>
    <row r="10" spans="1:9" hidden="1" x14ac:dyDescent="0.3">
      <c r="A10" s="1" t="s">
        <v>345</v>
      </c>
      <c r="B10" s="1" t="s">
        <v>1</v>
      </c>
      <c r="C10" s="1" t="s">
        <v>71</v>
      </c>
      <c r="D10" s="1" t="s">
        <v>327</v>
      </c>
      <c r="E10" s="1" t="s">
        <v>328</v>
      </c>
      <c r="F10" s="1" t="s">
        <v>346</v>
      </c>
      <c r="G10" s="1">
        <v>0</v>
      </c>
      <c r="H10" s="1">
        <v>456446</v>
      </c>
      <c r="I10" s="1">
        <v>0</v>
      </c>
    </row>
    <row r="11" spans="1:9" hidden="1" x14ac:dyDescent="0.3">
      <c r="A11" s="1" t="s">
        <v>347</v>
      </c>
      <c r="B11" s="1" t="s">
        <v>1</v>
      </c>
      <c r="C11" s="1" t="s">
        <v>74</v>
      </c>
      <c r="D11" s="1" t="s">
        <v>331</v>
      </c>
      <c r="E11" s="1" t="s">
        <v>341</v>
      </c>
      <c r="F11" s="2" t="s">
        <v>348</v>
      </c>
      <c r="G11" s="1">
        <v>0</v>
      </c>
      <c r="H11" s="1">
        <v>456446</v>
      </c>
      <c r="I11" s="1">
        <v>0</v>
      </c>
    </row>
    <row r="12" spans="1:9" x14ac:dyDescent="0.3">
      <c r="A12" s="1" t="s">
        <v>349</v>
      </c>
      <c r="B12" s="1" t="s">
        <v>1</v>
      </c>
      <c r="C12" s="1" t="s">
        <v>74</v>
      </c>
      <c r="D12" s="1" t="s">
        <v>323</v>
      </c>
      <c r="E12" s="2" t="s">
        <v>324</v>
      </c>
      <c r="F12" s="2" t="s">
        <v>350</v>
      </c>
      <c r="G12" s="1">
        <v>0</v>
      </c>
      <c r="H12" s="1">
        <v>456446</v>
      </c>
      <c r="I12" s="1">
        <v>0</v>
      </c>
    </row>
    <row r="13" spans="1:9" x14ac:dyDescent="0.3">
      <c r="A13" s="1" t="s">
        <v>351</v>
      </c>
      <c r="B13" s="1" t="s">
        <v>1</v>
      </c>
      <c r="C13" s="1" t="s">
        <v>75</v>
      </c>
      <c r="D13" s="1" t="s">
        <v>323</v>
      </c>
      <c r="E13" s="2" t="s">
        <v>324</v>
      </c>
      <c r="F13" s="2" t="s">
        <v>352</v>
      </c>
      <c r="G13" s="1">
        <v>0</v>
      </c>
      <c r="H13" s="1">
        <v>456446</v>
      </c>
      <c r="I13" s="1">
        <v>0</v>
      </c>
    </row>
    <row r="14" spans="1:9" hidden="1" x14ac:dyDescent="0.3">
      <c r="A14" s="1" t="s">
        <v>353</v>
      </c>
      <c r="B14" s="1" t="s">
        <v>1</v>
      </c>
      <c r="C14" s="1" t="s">
        <v>51</v>
      </c>
      <c r="D14" s="1" t="s">
        <v>354</v>
      </c>
      <c r="E14" s="1" t="s">
        <v>355</v>
      </c>
      <c r="F14" s="1" t="s">
        <v>356</v>
      </c>
      <c r="G14" s="1">
        <v>0</v>
      </c>
      <c r="H14" s="1">
        <v>456447</v>
      </c>
      <c r="I14" s="1">
        <v>0</v>
      </c>
    </row>
    <row r="15" spans="1:9" x14ac:dyDescent="0.3">
      <c r="A15" s="1" t="s">
        <v>357</v>
      </c>
      <c r="B15" s="1" t="s">
        <v>1</v>
      </c>
      <c r="C15" s="1" t="s">
        <v>81</v>
      </c>
      <c r="D15" s="1" t="s">
        <v>323</v>
      </c>
      <c r="E15" s="2" t="s">
        <v>324</v>
      </c>
      <c r="F15" s="1" t="s">
        <v>358</v>
      </c>
      <c r="G15" s="1">
        <v>0</v>
      </c>
      <c r="H15" s="1">
        <v>456446</v>
      </c>
      <c r="I15" s="1">
        <v>0</v>
      </c>
    </row>
    <row r="16" spans="1:9" hidden="1" x14ac:dyDescent="0.3">
      <c r="A16" s="1" t="s">
        <v>359</v>
      </c>
      <c r="B16" s="1" t="s">
        <v>3</v>
      </c>
      <c r="C16" s="1" t="s">
        <v>71</v>
      </c>
      <c r="D16" s="1" t="s">
        <v>354</v>
      </c>
      <c r="E16" s="1" t="s">
        <v>355</v>
      </c>
      <c r="F16" s="1" t="s">
        <v>360</v>
      </c>
      <c r="G16" s="1">
        <v>13317</v>
      </c>
      <c r="H16" s="1">
        <v>856762</v>
      </c>
      <c r="I16" s="1">
        <v>1.554340645360088E-2</v>
      </c>
    </row>
    <row r="17" spans="1:9" hidden="1" x14ac:dyDescent="0.3">
      <c r="A17" s="1" t="s">
        <v>361</v>
      </c>
      <c r="B17" s="1" t="s">
        <v>4</v>
      </c>
      <c r="C17" s="1" t="s">
        <v>71</v>
      </c>
      <c r="D17" s="1" t="s">
        <v>354</v>
      </c>
      <c r="E17" s="1" t="s">
        <v>355</v>
      </c>
      <c r="F17" s="1" t="s">
        <v>362</v>
      </c>
      <c r="G17" s="1">
        <v>277231</v>
      </c>
      <c r="H17" s="1">
        <v>3653167</v>
      </c>
      <c r="I17" s="1">
        <v>7.588785292323072E-2</v>
      </c>
    </row>
    <row r="18" spans="1:9" hidden="1" x14ac:dyDescent="0.3">
      <c r="A18" s="1" t="s">
        <v>363</v>
      </c>
      <c r="B18" s="1" t="s">
        <v>181</v>
      </c>
      <c r="C18" s="1" t="s">
        <v>71</v>
      </c>
      <c r="D18" s="1" t="s">
        <v>354</v>
      </c>
      <c r="E18" s="1" t="s">
        <v>355</v>
      </c>
      <c r="F18" s="1" t="s">
        <v>364</v>
      </c>
      <c r="G18" s="1">
        <v>1216755</v>
      </c>
      <c r="H18" s="1">
        <v>13568812</v>
      </c>
      <c r="I18" s="1">
        <v>8.9672920518023239E-2</v>
      </c>
    </row>
    <row r="19" spans="1:9" hidden="1" x14ac:dyDescent="0.3">
      <c r="A19" s="1" t="s">
        <v>365</v>
      </c>
      <c r="B19" s="1" t="s">
        <v>221</v>
      </c>
      <c r="C19" s="1" t="s">
        <v>71</v>
      </c>
      <c r="D19" s="1" t="s">
        <v>354</v>
      </c>
      <c r="E19" s="1" t="s">
        <v>355</v>
      </c>
      <c r="F19" s="1" t="s">
        <v>366</v>
      </c>
      <c r="G19" s="1">
        <v>666932</v>
      </c>
      <c r="H19" s="1">
        <v>3890055</v>
      </c>
      <c r="I19" s="1">
        <v>0.17144539087493621</v>
      </c>
    </row>
    <row r="20" spans="1:9" x14ac:dyDescent="0.3">
      <c r="A20" s="1" t="s">
        <v>367</v>
      </c>
      <c r="B20" s="1" t="s">
        <v>3</v>
      </c>
      <c r="C20" s="1" t="s">
        <v>113</v>
      </c>
      <c r="D20" s="1" t="s">
        <v>323</v>
      </c>
      <c r="E20" s="2" t="s">
        <v>324</v>
      </c>
      <c r="F20" s="1" t="s">
        <v>368</v>
      </c>
      <c r="G20" s="1">
        <v>0</v>
      </c>
      <c r="H20" s="1">
        <v>856762</v>
      </c>
      <c r="I20" s="1">
        <v>0</v>
      </c>
    </row>
    <row r="21" spans="1:9" hidden="1" x14ac:dyDescent="0.3">
      <c r="A21" s="1" t="s">
        <v>369</v>
      </c>
      <c r="B21" s="1" t="s">
        <v>3</v>
      </c>
      <c r="C21" s="1" t="s">
        <v>113</v>
      </c>
      <c r="D21" s="1" t="s">
        <v>327</v>
      </c>
      <c r="E21" s="1" t="s">
        <v>560</v>
      </c>
      <c r="F21" s="1" t="s">
        <v>370</v>
      </c>
      <c r="G21" s="1">
        <v>0</v>
      </c>
      <c r="H21" s="1">
        <v>856762</v>
      </c>
      <c r="I21" s="1">
        <v>0</v>
      </c>
    </row>
    <row r="22" spans="1:9" hidden="1" x14ac:dyDescent="0.3">
      <c r="A22" s="1" t="s">
        <v>371</v>
      </c>
      <c r="B22" s="1" t="s">
        <v>3</v>
      </c>
      <c r="C22" s="1" t="s">
        <v>116</v>
      </c>
      <c r="D22" s="1" t="s">
        <v>331</v>
      </c>
      <c r="E22" s="1" t="s">
        <v>341</v>
      </c>
      <c r="F22" s="2" t="s">
        <v>372</v>
      </c>
      <c r="G22" s="1">
        <v>0</v>
      </c>
      <c r="H22" s="1">
        <v>856762</v>
      </c>
      <c r="I22" s="1">
        <v>0</v>
      </c>
    </row>
    <row r="23" spans="1:9" x14ac:dyDescent="0.3">
      <c r="A23" s="1" t="s">
        <v>373</v>
      </c>
      <c r="B23" s="1" t="s">
        <v>3</v>
      </c>
      <c r="C23" s="1" t="s">
        <v>116</v>
      </c>
      <c r="D23" s="1" t="s">
        <v>323</v>
      </c>
      <c r="E23" s="2" t="s">
        <v>324</v>
      </c>
      <c r="F23" s="2" t="s">
        <v>374</v>
      </c>
      <c r="G23" s="1">
        <v>0</v>
      </c>
      <c r="H23" s="1">
        <v>856762</v>
      </c>
      <c r="I23" s="1">
        <v>0</v>
      </c>
    </row>
    <row r="24" spans="1:9" x14ac:dyDescent="0.3">
      <c r="A24" s="1" t="s">
        <v>375</v>
      </c>
      <c r="B24" s="1" t="s">
        <v>3</v>
      </c>
      <c r="C24" s="1" t="s">
        <v>117</v>
      </c>
      <c r="D24" s="1" t="s">
        <v>323</v>
      </c>
      <c r="E24" s="2" t="s">
        <v>324</v>
      </c>
      <c r="F24" s="2" t="s">
        <v>376</v>
      </c>
      <c r="G24" s="1">
        <v>0</v>
      </c>
      <c r="H24" s="1">
        <v>856762</v>
      </c>
      <c r="I24" s="1">
        <v>0</v>
      </c>
    </row>
    <row r="25" spans="1:9" x14ac:dyDescent="0.3">
      <c r="A25" s="1" t="s">
        <v>377</v>
      </c>
      <c r="B25" s="1" t="s">
        <v>3</v>
      </c>
      <c r="C25" s="1" t="s">
        <v>127</v>
      </c>
      <c r="D25" s="1" t="s">
        <v>323</v>
      </c>
      <c r="E25" s="2" t="s">
        <v>324</v>
      </c>
      <c r="F25" s="2" t="s">
        <v>378</v>
      </c>
      <c r="G25" s="1">
        <v>65</v>
      </c>
      <c r="H25" s="1">
        <v>856762</v>
      </c>
      <c r="I25" s="1">
        <v>7.5867043589701697E-5</v>
      </c>
    </row>
    <row r="26" spans="1:9" hidden="1" x14ac:dyDescent="0.3">
      <c r="A26" s="1" t="s">
        <v>379</v>
      </c>
      <c r="B26" s="1" t="s">
        <v>3</v>
      </c>
      <c r="C26" s="1" t="s">
        <v>51</v>
      </c>
      <c r="D26" s="1" t="s">
        <v>354</v>
      </c>
      <c r="E26" s="1" t="s">
        <v>355</v>
      </c>
      <c r="F26" s="1" t="s">
        <v>380</v>
      </c>
      <c r="G26" s="1">
        <v>0</v>
      </c>
      <c r="H26" s="1">
        <v>856763</v>
      </c>
      <c r="I26" s="1">
        <v>0</v>
      </c>
    </row>
    <row r="27" spans="1:9" x14ac:dyDescent="0.3">
      <c r="A27" s="1" t="s">
        <v>381</v>
      </c>
      <c r="B27" s="1" t="s">
        <v>4</v>
      </c>
      <c r="C27" s="1" t="s">
        <v>138</v>
      </c>
      <c r="D27" s="1" t="s">
        <v>323</v>
      </c>
      <c r="E27" s="2" t="s">
        <v>324</v>
      </c>
      <c r="F27" s="1" t="s">
        <v>382</v>
      </c>
      <c r="G27" s="1">
        <v>0</v>
      </c>
      <c r="H27" s="1">
        <v>3653167</v>
      </c>
      <c r="I27" s="1">
        <v>0</v>
      </c>
    </row>
    <row r="28" spans="1:9" hidden="1" x14ac:dyDescent="0.3">
      <c r="A28" s="1" t="s">
        <v>383</v>
      </c>
      <c r="B28" s="1" t="s">
        <v>4</v>
      </c>
      <c r="C28" s="1" t="s">
        <v>138</v>
      </c>
      <c r="D28" s="1" t="s">
        <v>327</v>
      </c>
      <c r="E28" s="1" t="s">
        <v>328</v>
      </c>
      <c r="F28" s="1" t="s">
        <v>384</v>
      </c>
      <c r="G28" s="1">
        <v>0</v>
      </c>
      <c r="H28" s="1">
        <v>3653167</v>
      </c>
      <c r="I28" s="1">
        <v>0</v>
      </c>
    </row>
    <row r="29" spans="1:9" hidden="1" x14ac:dyDescent="0.3">
      <c r="A29" s="1" t="s">
        <v>385</v>
      </c>
      <c r="B29" s="1" t="s">
        <v>4</v>
      </c>
      <c r="C29" s="1" t="s">
        <v>141</v>
      </c>
      <c r="D29" s="1" t="s">
        <v>331</v>
      </c>
      <c r="E29" s="1" t="s">
        <v>341</v>
      </c>
      <c r="F29" s="2" t="s">
        <v>386</v>
      </c>
      <c r="G29" s="1">
        <v>48</v>
      </c>
      <c r="H29" s="1">
        <v>3653167</v>
      </c>
      <c r="I29" s="1">
        <v>1.3139284352453639E-5</v>
      </c>
    </row>
    <row r="30" spans="1:9" x14ac:dyDescent="0.3">
      <c r="A30" s="1" t="s">
        <v>387</v>
      </c>
      <c r="B30" s="1" t="s">
        <v>4</v>
      </c>
      <c r="C30" s="1" t="s">
        <v>141</v>
      </c>
      <c r="D30" s="1" t="s">
        <v>323</v>
      </c>
      <c r="E30" s="2" t="s">
        <v>324</v>
      </c>
      <c r="F30" s="2" t="s">
        <v>388</v>
      </c>
      <c r="G30" s="1">
        <v>0</v>
      </c>
      <c r="H30" s="1">
        <v>3653167</v>
      </c>
      <c r="I30" s="1">
        <v>0</v>
      </c>
    </row>
    <row r="31" spans="1:9" x14ac:dyDescent="0.3">
      <c r="A31" s="1" t="s">
        <v>389</v>
      </c>
      <c r="B31" s="1" t="s">
        <v>4</v>
      </c>
      <c r="C31" s="1" t="s">
        <v>142</v>
      </c>
      <c r="D31" s="1" t="s">
        <v>323</v>
      </c>
      <c r="E31" s="2" t="s">
        <v>324</v>
      </c>
      <c r="F31" s="2" t="s">
        <v>390</v>
      </c>
      <c r="G31" s="1">
        <v>0</v>
      </c>
      <c r="H31" s="1">
        <v>3653167</v>
      </c>
      <c r="I31" s="1">
        <v>0</v>
      </c>
    </row>
    <row r="32" spans="1:9" hidden="1" x14ac:dyDescent="0.3">
      <c r="A32" s="1" t="s">
        <v>391</v>
      </c>
      <c r="B32" s="1" t="s">
        <v>4</v>
      </c>
      <c r="C32" s="1" t="s">
        <v>51</v>
      </c>
      <c r="D32" s="1" t="s">
        <v>354</v>
      </c>
      <c r="E32" s="1" t="s">
        <v>355</v>
      </c>
      <c r="F32" s="1" t="s">
        <v>392</v>
      </c>
      <c r="G32" s="1">
        <v>0</v>
      </c>
      <c r="H32" s="1">
        <v>3653200</v>
      </c>
      <c r="I32" s="1">
        <v>0</v>
      </c>
    </row>
    <row r="33" spans="1:9" x14ac:dyDescent="0.3">
      <c r="A33" s="1" t="s">
        <v>393</v>
      </c>
      <c r="B33" s="1" t="s">
        <v>4</v>
      </c>
      <c r="C33" s="1" t="s">
        <v>155</v>
      </c>
      <c r="D33" s="1" t="s">
        <v>323</v>
      </c>
      <c r="E33" s="2" t="s">
        <v>324</v>
      </c>
      <c r="F33" s="1" t="s">
        <v>394</v>
      </c>
      <c r="G33" s="1">
        <v>0</v>
      </c>
      <c r="H33" s="1">
        <v>3653167</v>
      </c>
      <c r="I33" s="1">
        <v>0</v>
      </c>
    </row>
    <row r="34" spans="1:9" x14ac:dyDescent="0.3">
      <c r="A34" s="1" t="s">
        <v>395</v>
      </c>
      <c r="B34" s="1" t="s">
        <v>181</v>
      </c>
      <c r="C34" s="1" t="s">
        <v>182</v>
      </c>
      <c r="D34" s="1" t="s">
        <v>323</v>
      </c>
      <c r="E34" s="2" t="s">
        <v>324</v>
      </c>
      <c r="F34" s="1" t="s">
        <v>396</v>
      </c>
      <c r="G34" s="1">
        <v>0</v>
      </c>
      <c r="H34" s="1">
        <v>13568812</v>
      </c>
      <c r="I34" s="1">
        <v>0</v>
      </c>
    </row>
    <row r="35" spans="1:9" hidden="1" x14ac:dyDescent="0.3">
      <c r="A35" s="1" t="s">
        <v>397</v>
      </c>
      <c r="B35" s="1" t="s">
        <v>181</v>
      </c>
      <c r="C35" s="1" t="s">
        <v>182</v>
      </c>
      <c r="D35" s="1" t="s">
        <v>327</v>
      </c>
      <c r="E35" s="1" t="s">
        <v>328</v>
      </c>
      <c r="F35" s="1" t="s">
        <v>398</v>
      </c>
      <c r="G35" s="1">
        <v>0</v>
      </c>
      <c r="H35" s="1">
        <v>13568812</v>
      </c>
      <c r="I35" s="1">
        <v>0</v>
      </c>
    </row>
    <row r="36" spans="1:9" x14ac:dyDescent="0.3">
      <c r="A36" s="1" t="s">
        <v>399</v>
      </c>
      <c r="B36" s="1" t="s">
        <v>181</v>
      </c>
      <c r="C36" s="1" t="s">
        <v>185</v>
      </c>
      <c r="D36" s="1" t="s">
        <v>323</v>
      </c>
      <c r="E36" s="2" t="s">
        <v>324</v>
      </c>
      <c r="F36" s="2" t="s">
        <v>400</v>
      </c>
      <c r="G36" s="1">
        <v>0</v>
      </c>
      <c r="H36" s="1">
        <v>13568812</v>
      </c>
      <c r="I36" s="1">
        <v>0</v>
      </c>
    </row>
    <row r="37" spans="1:9" x14ac:dyDescent="0.3">
      <c r="A37" s="1" t="s">
        <v>401</v>
      </c>
      <c r="B37" s="1" t="s">
        <v>181</v>
      </c>
      <c r="C37" s="1" t="s">
        <v>186</v>
      </c>
      <c r="D37" s="1" t="s">
        <v>323</v>
      </c>
      <c r="E37" s="2" t="s">
        <v>324</v>
      </c>
      <c r="F37" s="2" t="s">
        <v>402</v>
      </c>
      <c r="G37" s="1">
        <v>0</v>
      </c>
      <c r="H37" s="1">
        <v>13568812</v>
      </c>
      <c r="I37" s="1">
        <v>0</v>
      </c>
    </row>
    <row r="38" spans="1:9" hidden="1" x14ac:dyDescent="0.3">
      <c r="A38" s="1" t="s">
        <v>403</v>
      </c>
      <c r="B38" s="1" t="s">
        <v>181</v>
      </c>
      <c r="C38" s="1" t="s">
        <v>51</v>
      </c>
      <c r="D38" s="1" t="s">
        <v>354</v>
      </c>
      <c r="E38" s="1" t="s">
        <v>355</v>
      </c>
      <c r="F38" s="1" t="s">
        <v>404</v>
      </c>
      <c r="G38" s="1">
        <v>0</v>
      </c>
      <c r="H38" s="1">
        <v>13568826</v>
      </c>
      <c r="I38" s="1">
        <v>0</v>
      </c>
    </row>
    <row r="39" spans="1:9" x14ac:dyDescent="0.3">
      <c r="A39" s="1" t="s">
        <v>405</v>
      </c>
      <c r="B39" s="1" t="s">
        <v>181</v>
      </c>
      <c r="C39" s="1" t="s">
        <v>204</v>
      </c>
      <c r="D39" s="1" t="s">
        <v>323</v>
      </c>
      <c r="E39" s="2" t="s">
        <v>324</v>
      </c>
      <c r="F39" s="1" t="s">
        <v>406</v>
      </c>
      <c r="G39" s="1">
        <v>0</v>
      </c>
      <c r="H39" s="1">
        <v>13568812</v>
      </c>
      <c r="I39" s="1">
        <v>0</v>
      </c>
    </row>
    <row r="40" spans="1:9" x14ac:dyDescent="0.3">
      <c r="A40" s="1" t="s">
        <v>407</v>
      </c>
      <c r="B40" s="1" t="s">
        <v>221</v>
      </c>
      <c r="C40" s="1" t="s">
        <v>222</v>
      </c>
      <c r="D40" s="1" t="s">
        <v>323</v>
      </c>
      <c r="E40" s="2" t="s">
        <v>324</v>
      </c>
      <c r="F40" s="1" t="s">
        <v>408</v>
      </c>
      <c r="G40" s="1">
        <v>0</v>
      </c>
      <c r="H40" s="1">
        <v>3890055</v>
      </c>
      <c r="I40" s="1">
        <v>0</v>
      </c>
    </row>
    <row r="41" spans="1:9" hidden="1" x14ac:dyDescent="0.3">
      <c r="A41" s="1" t="s">
        <v>409</v>
      </c>
      <c r="B41" s="1" t="s">
        <v>221</v>
      </c>
      <c r="C41" s="1" t="s">
        <v>222</v>
      </c>
      <c r="D41" s="1" t="s">
        <v>327</v>
      </c>
      <c r="E41" s="1" t="s">
        <v>328</v>
      </c>
      <c r="F41" s="1" t="s">
        <v>410</v>
      </c>
      <c r="G41" s="1">
        <v>0</v>
      </c>
      <c r="H41" s="1">
        <v>3890055</v>
      </c>
      <c r="I41" s="1">
        <v>0</v>
      </c>
    </row>
    <row r="42" spans="1:9" x14ac:dyDescent="0.3">
      <c r="A42" s="1" t="s">
        <v>411</v>
      </c>
      <c r="B42" s="1" t="s">
        <v>221</v>
      </c>
      <c r="C42" s="1" t="s">
        <v>225</v>
      </c>
      <c r="D42" s="1" t="s">
        <v>323</v>
      </c>
      <c r="E42" s="2" t="s">
        <v>324</v>
      </c>
      <c r="F42" s="2" t="s">
        <v>412</v>
      </c>
      <c r="G42" s="1">
        <v>0</v>
      </c>
      <c r="H42" s="1">
        <v>3890055</v>
      </c>
      <c r="I42" s="1">
        <v>0</v>
      </c>
    </row>
    <row r="43" spans="1:9" x14ac:dyDescent="0.3">
      <c r="A43" s="1" t="s">
        <v>413</v>
      </c>
      <c r="B43" s="1" t="s">
        <v>221</v>
      </c>
      <c r="C43" s="1" t="s">
        <v>226</v>
      </c>
      <c r="D43" s="1" t="s">
        <v>323</v>
      </c>
      <c r="E43" s="2" t="s">
        <v>324</v>
      </c>
      <c r="F43" s="2" t="s">
        <v>414</v>
      </c>
      <c r="G43" s="1">
        <v>0</v>
      </c>
      <c r="H43" s="1">
        <v>3890055</v>
      </c>
      <c r="I43" s="1">
        <v>0</v>
      </c>
    </row>
    <row r="44" spans="1:9" hidden="1" x14ac:dyDescent="0.3">
      <c r="A44" s="1" t="s">
        <v>415</v>
      </c>
      <c r="B44" s="1" t="s">
        <v>221</v>
      </c>
      <c r="C44" s="1" t="s">
        <v>51</v>
      </c>
      <c r="D44" s="1" t="s">
        <v>354</v>
      </c>
      <c r="E44" s="1" t="s">
        <v>355</v>
      </c>
      <c r="F44" s="1" t="s">
        <v>416</v>
      </c>
      <c r="G44" s="1">
        <v>0</v>
      </c>
      <c r="H44" s="1">
        <v>3890085</v>
      </c>
      <c r="I44" s="1">
        <v>0</v>
      </c>
    </row>
    <row r="45" spans="1:9" x14ac:dyDescent="0.3">
      <c r="A45" s="1" t="s">
        <v>417</v>
      </c>
      <c r="B45" s="1" t="s">
        <v>221</v>
      </c>
      <c r="C45" s="1" t="s">
        <v>232</v>
      </c>
      <c r="D45" s="1" t="s">
        <v>323</v>
      </c>
      <c r="E45" s="2" t="s">
        <v>324</v>
      </c>
      <c r="F45" s="1" t="s">
        <v>418</v>
      </c>
      <c r="G45" s="1">
        <v>0</v>
      </c>
      <c r="H45" s="1">
        <v>3890055</v>
      </c>
      <c r="I45" s="1">
        <v>0</v>
      </c>
    </row>
    <row r="46" spans="1:9" x14ac:dyDescent="0.3">
      <c r="A46" s="1" t="s">
        <v>419</v>
      </c>
      <c r="B46" s="1" t="s">
        <v>248</v>
      </c>
      <c r="C46" s="1" t="s">
        <v>249</v>
      </c>
      <c r="D46" s="1" t="s">
        <v>323</v>
      </c>
      <c r="E46" s="2" t="s">
        <v>324</v>
      </c>
      <c r="F46" s="1" t="s">
        <v>420</v>
      </c>
      <c r="G46" s="1">
        <v>0</v>
      </c>
      <c r="H46" s="1">
        <v>6147</v>
      </c>
      <c r="I46" s="1">
        <v>0</v>
      </c>
    </row>
    <row r="47" spans="1:9" hidden="1" x14ac:dyDescent="0.3">
      <c r="A47" s="1" t="s">
        <v>421</v>
      </c>
      <c r="B47" s="1" t="s">
        <v>248</v>
      </c>
      <c r="C47" s="1" t="s">
        <v>249</v>
      </c>
      <c r="D47" s="1" t="s">
        <v>327</v>
      </c>
      <c r="E47" s="1" t="s">
        <v>328</v>
      </c>
      <c r="F47" s="1" t="s">
        <v>422</v>
      </c>
      <c r="G47" s="1">
        <v>0</v>
      </c>
      <c r="H47" s="1">
        <v>6147</v>
      </c>
      <c r="I47" s="1">
        <v>0</v>
      </c>
    </row>
    <row r="48" spans="1:9" hidden="1" x14ac:dyDescent="0.3">
      <c r="A48" s="1" t="s">
        <v>423</v>
      </c>
      <c r="B48" s="1" t="s">
        <v>248</v>
      </c>
      <c r="C48" s="1" t="s">
        <v>250</v>
      </c>
      <c r="D48" s="1" t="s">
        <v>331</v>
      </c>
      <c r="E48" s="1" t="s">
        <v>341</v>
      </c>
      <c r="F48" s="2" t="s">
        <v>424</v>
      </c>
      <c r="G48" s="1">
        <v>0</v>
      </c>
      <c r="H48" s="1">
        <v>6147</v>
      </c>
      <c r="I48" s="1">
        <v>0</v>
      </c>
    </row>
    <row r="49" spans="1:9" x14ac:dyDescent="0.3">
      <c r="A49" s="1" t="s">
        <v>425</v>
      </c>
      <c r="B49" s="1" t="s">
        <v>248</v>
      </c>
      <c r="C49" s="1" t="s">
        <v>250</v>
      </c>
      <c r="D49" s="1" t="s">
        <v>323</v>
      </c>
      <c r="E49" s="2" t="s">
        <v>324</v>
      </c>
      <c r="F49" s="2" t="s">
        <v>426</v>
      </c>
      <c r="G49" s="1">
        <v>0</v>
      </c>
      <c r="H49" s="1">
        <v>6147</v>
      </c>
      <c r="I49" s="1">
        <v>0</v>
      </c>
    </row>
    <row r="50" spans="1:9" x14ac:dyDescent="0.3">
      <c r="A50" s="1" t="s">
        <v>427</v>
      </c>
      <c r="B50" s="1" t="s">
        <v>248</v>
      </c>
      <c r="C50" s="1" t="s">
        <v>251</v>
      </c>
      <c r="D50" s="1" t="s">
        <v>323</v>
      </c>
      <c r="E50" s="2" t="s">
        <v>324</v>
      </c>
      <c r="F50" s="2" t="s">
        <v>428</v>
      </c>
      <c r="G50" s="1">
        <v>0</v>
      </c>
      <c r="H50" s="1">
        <v>6147</v>
      </c>
      <c r="I50" s="1">
        <v>0</v>
      </c>
    </row>
    <row r="51" spans="1:9" hidden="1" x14ac:dyDescent="0.3">
      <c r="A51" s="1" t="s">
        <v>429</v>
      </c>
      <c r="B51" s="1" t="s">
        <v>248</v>
      </c>
      <c r="C51" s="1" t="s">
        <v>51</v>
      </c>
      <c r="D51" s="1" t="s">
        <v>354</v>
      </c>
      <c r="E51" s="1" t="s">
        <v>355</v>
      </c>
      <c r="F51" s="1" t="s">
        <v>430</v>
      </c>
      <c r="G51" s="1">
        <v>0</v>
      </c>
      <c r="H51" s="1">
        <v>6147</v>
      </c>
      <c r="I51" s="1">
        <v>0</v>
      </c>
    </row>
  </sheetData>
  <autoFilter ref="A1:I51" xr:uid="{00000000-0001-0000-0200-000000000000}">
    <filterColumn colId="3">
      <filters>
        <filter val="완전성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370F-DF22-4836-AD08-4935A9AE914B}">
  <dimension ref="C2:H12"/>
  <sheetViews>
    <sheetView tabSelected="1" workbookViewId="0">
      <selection activeCell="F10" sqref="F10"/>
    </sheetView>
    <sheetView workbookViewId="1"/>
  </sheetViews>
  <sheetFormatPr defaultRowHeight="16.5" x14ac:dyDescent="0.3"/>
  <cols>
    <col min="3" max="3" width="21.125" bestFit="1" customWidth="1"/>
    <col min="6" max="6" width="13" style="41" bestFit="1" customWidth="1"/>
    <col min="7" max="7" width="12.5" customWidth="1"/>
    <col min="8" max="8" width="15.625" customWidth="1"/>
  </cols>
  <sheetData>
    <row r="2" spans="3:8" x14ac:dyDescent="0.3">
      <c r="C2" s="39" t="s">
        <v>561</v>
      </c>
      <c r="D2" s="46" t="s">
        <v>555</v>
      </c>
      <c r="E2" s="46" t="s">
        <v>556</v>
      </c>
      <c r="F2" s="47" t="s">
        <v>557</v>
      </c>
      <c r="G2" s="46" t="s">
        <v>558</v>
      </c>
      <c r="H2" s="48" t="s">
        <v>559</v>
      </c>
    </row>
    <row r="3" spans="3:8" x14ac:dyDescent="0.3">
      <c r="C3" s="36" t="s">
        <v>323</v>
      </c>
      <c r="D3">
        <f>COUNTIF('5.업무규칙_결과'!D2:D51, "완전성")</f>
        <v>25</v>
      </c>
      <c r="E3" s="40">
        <f>D3/D12</f>
        <v>0.5</v>
      </c>
      <c r="F3" s="41">
        <f>SUMIF('5.업무규칙_결과'!D2:D51, "완전성", '5.업무규칙_결과'!H2:H51)</f>
        <v>89731703</v>
      </c>
      <c r="G3" s="41">
        <f>SUMIF('5.업무규칙_결과'!D2:D51, "완전성", '5.업무규칙_결과'!G2:G51)</f>
        <v>65</v>
      </c>
      <c r="H3" s="42">
        <f>G3/F3</f>
        <v>7.2438166029234947E-7</v>
      </c>
    </row>
    <row r="4" spans="3:8" x14ac:dyDescent="0.3">
      <c r="C4" s="37" t="s">
        <v>324</v>
      </c>
      <c r="D4">
        <f>COUNTIF('5.업무규칙_결과'!E2:E51, "데이터 값 완전성")</f>
        <v>25</v>
      </c>
      <c r="E4" s="40">
        <f>D3/D4</f>
        <v>1</v>
      </c>
      <c r="F4" s="41">
        <f>SUMIF('5.업무규칙_결과'!E2:E51, "데이터 값 완전성", '5.업무규칙_결과'!H2:H51)</f>
        <v>89731703</v>
      </c>
      <c r="G4" s="41">
        <f>SUMIF('5.업무규칙_결과'!E2:E51, "데이터 값 완전성", '5.업무규칙_결과'!G2:G51)</f>
        <v>65</v>
      </c>
      <c r="H4" s="42">
        <f t="shared" ref="H4:H11" si="0">G4/F4</f>
        <v>7.2438166029234947E-7</v>
      </c>
    </row>
    <row r="5" spans="3:8" x14ac:dyDescent="0.3">
      <c r="C5" s="36" t="s">
        <v>327</v>
      </c>
      <c r="D5">
        <f>COUNTIF('5.업무규칙_결과'!D2:D51, "유일성")</f>
        <v>7</v>
      </c>
      <c r="E5" s="40">
        <f>D5/D12</f>
        <v>0.14000000000000001</v>
      </c>
      <c r="F5" s="41">
        <f>SUMIF('5.업무규칙_결과'!D2:D51, "유일성", '5.업무규칙_결과'!H2:H51)</f>
        <v>22437536</v>
      </c>
      <c r="G5" s="41">
        <f>SUMIF('5.업무규칙_결과'!D2:D51, "유일성", '5.업무규칙_결과'!I2:I51)</f>
        <v>0</v>
      </c>
      <c r="H5" s="42">
        <f t="shared" si="0"/>
        <v>0</v>
      </c>
    </row>
    <row r="6" spans="3:8" x14ac:dyDescent="0.3">
      <c r="C6" s="37" t="s">
        <v>328</v>
      </c>
      <c r="D6">
        <f>COUNTIF('5.업무규칙_결과'!E2:E51, "데이터 값 유일성")</f>
        <v>7</v>
      </c>
      <c r="E6" s="40">
        <f>D5/D6</f>
        <v>1</v>
      </c>
      <c r="F6" s="41">
        <f>SUMIF('5.업무규칙_결과'!E2:E51, "데이터 값 유일성", '5.업무규칙_결과'!H2:H51)</f>
        <v>22437536</v>
      </c>
      <c r="G6" s="41">
        <f>SUMIF('5.업무규칙_결과'!E2:E51, "데이터 값 유일성", '5.업무규칙_결과'!G2:G51)</f>
        <v>0</v>
      </c>
      <c r="H6" s="42">
        <f t="shared" si="0"/>
        <v>0</v>
      </c>
    </row>
    <row r="7" spans="3:8" x14ac:dyDescent="0.3">
      <c r="C7" s="36" t="s">
        <v>331</v>
      </c>
      <c r="D7">
        <f>COUNTIF('5.업무규칙_결과'!D2:D51, "유효성")</f>
        <v>8</v>
      </c>
      <c r="E7" s="40">
        <f>D7/D12</f>
        <v>0.16</v>
      </c>
      <c r="F7" s="41">
        <f>SUMIF('5.업무규칙_결과'!D2:D51, "유효성", '5.업무규칙_결과'!H2:H51)</f>
        <v>4997110</v>
      </c>
      <c r="G7" s="41">
        <f>SUMIF('5.업무규칙_결과'!D2:D51, "유효성", '5.업무규칙_결과'!G2:G51)</f>
        <v>48</v>
      </c>
      <c r="H7" s="42">
        <f t="shared" si="0"/>
        <v>9.605552009061237E-6</v>
      </c>
    </row>
    <row r="8" spans="3:8" x14ac:dyDescent="0.3">
      <c r="C8" s="37" t="s">
        <v>341</v>
      </c>
      <c r="D8">
        <f>COUNTIF('5.업무규칙_결과'!E2:E51, "관계 유효성")</f>
        <v>5</v>
      </c>
      <c r="E8" s="40">
        <f>D8/D7</f>
        <v>0.625</v>
      </c>
      <c r="F8" s="41">
        <f>SUMIF('5.업무규칙_결과'!E2:E51, "관계 유효성", '5.업무규칙_결과'!H2:H51)</f>
        <v>4978669</v>
      </c>
      <c r="G8" s="41">
        <f>SUMIF('5.업무규칙_결과'!E2:E51, "관계 유효성", '5.업무규칙_결과'!G2:G51)</f>
        <v>48</v>
      </c>
      <c r="H8" s="42">
        <f t="shared" si="0"/>
        <v>9.6411309930425185E-6</v>
      </c>
    </row>
    <row r="9" spans="3:8" x14ac:dyDescent="0.3">
      <c r="C9" s="37" t="s">
        <v>332</v>
      </c>
      <c r="D9">
        <f>COUNTIF('5.업무규칙_결과'!E2:E51, "범위 유효성")</f>
        <v>3</v>
      </c>
      <c r="E9" s="40">
        <f>D9/D7</f>
        <v>0.375</v>
      </c>
      <c r="F9" s="41">
        <f>SUMIF('5.업무규칙_결과'!E2:E51, "범위 유효성", '5.업무규칙_결과'!H2:H51)</f>
        <v>18441</v>
      </c>
      <c r="G9" s="41">
        <f>SUMIF('5.업무규칙_결과'!E2:E51, "범위 유효성", '5.업무규칙_결과'!G2:G51)</f>
        <v>0</v>
      </c>
      <c r="H9" s="42">
        <f t="shared" si="0"/>
        <v>0</v>
      </c>
    </row>
    <row r="10" spans="3:8" x14ac:dyDescent="0.3">
      <c r="C10" s="36" t="s">
        <v>354</v>
      </c>
      <c r="D10">
        <f>COUNTIF('5.업무규칙_결과'!D2:D51, "일관성")</f>
        <v>10</v>
      </c>
      <c r="E10" s="40">
        <f>D10/D12</f>
        <v>0.2</v>
      </c>
      <c r="F10" s="41">
        <f>SUMIF('5.업무규칙_결과'!D2:D51, "일관성", '5.업무규칙_결과'!H2:H51)</f>
        <v>44400264</v>
      </c>
      <c r="G10" s="41">
        <f>SUMIF('5.업무규칙_결과'!D2:D51, "일관성", '5.업무규칙_결과'!G2:G51)</f>
        <v>2174235</v>
      </c>
      <c r="H10" s="42">
        <f t="shared" si="0"/>
        <v>4.8968965589934327E-2</v>
      </c>
    </row>
    <row r="11" spans="3:8" x14ac:dyDescent="0.3">
      <c r="C11" s="37" t="s">
        <v>355</v>
      </c>
      <c r="D11">
        <f>COUNTIF('5.업무규칙_결과'!E2:E51, "참조 무결 일관성")</f>
        <v>10</v>
      </c>
      <c r="E11" s="40">
        <f>D11/D10</f>
        <v>1</v>
      </c>
      <c r="F11" s="41">
        <f>SUMIF('5.업무규칙_결과'!E2:E51, "참조 무결 일관성", '5.업무규칙_결과'!H2:H51)</f>
        <v>44400264</v>
      </c>
      <c r="G11" s="41">
        <f>SUMIF('5.업무규칙_결과'!E2:E51, "참조 무결 일관성", '5.업무규칙_결과'!G2:G51)</f>
        <v>2174235</v>
      </c>
      <c r="H11" s="42">
        <f t="shared" si="0"/>
        <v>4.8968965589934327E-2</v>
      </c>
    </row>
    <row r="12" spans="3:8" x14ac:dyDescent="0.3">
      <c r="C12" s="38" t="s">
        <v>554</v>
      </c>
      <c r="D12" s="39">
        <f>SUM(D3,D5,D7,D10)</f>
        <v>50</v>
      </c>
      <c r="E12" s="43">
        <f>SUM(E3,E5,E7,E10)</f>
        <v>1</v>
      </c>
      <c r="F12" s="44">
        <f t="shared" ref="F12:H12" si="1">SUM(F3,F5,F7,F10)</f>
        <v>161566613</v>
      </c>
      <c r="G12" s="44">
        <f t="shared" si="1"/>
        <v>2174348</v>
      </c>
      <c r="H12" s="45">
        <f>G12/F12</f>
        <v>1.3457904202027185E-2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1.표지</vt:lpstr>
      <vt:lpstr>2.작성가이드</vt:lpstr>
      <vt:lpstr>3.컬럼별_데이터_분포 진단결과</vt:lpstr>
      <vt:lpstr>4.메타_데이터_진단결과</vt:lpstr>
      <vt:lpstr>5.업무규칙_결과</vt:lpstr>
      <vt:lpstr>6.업무규칙_결과요약</vt:lpstr>
      <vt:lpstr>'1.표지'!Print_Area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심상일</dc:creator>
  <cp:lastModifiedBy>심상일</cp:lastModifiedBy>
  <cp:lastPrinted>2025-02-27T05:45:01Z</cp:lastPrinted>
  <dcterms:created xsi:type="dcterms:W3CDTF">2024-03-25T23:52:50Z</dcterms:created>
  <dcterms:modified xsi:type="dcterms:W3CDTF">2025-02-27T07:00:43Z</dcterms:modified>
</cp:coreProperties>
</file>